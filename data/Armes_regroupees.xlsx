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mes" sheetId="1" state="visible" r:id="rId3"/>
    <sheet name="Vitesse (calcul)" sheetId="2" state="visible" r:id="rId4"/>
  </sheets>
  <definedNames>
    <definedName function="false" hidden="true" localSheetId="0" name="_xlnm._FilterDatabase" vbProcedure="false">Armes!$A$2:$AE$135</definedName>
    <definedName function="false" hidden="true" localSheetId="1" name="_xlnm._FilterDatabase" vbProcedure="false">'Vitesse (calcul)'!$A$20:$T$153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" authorId="0">
      <text>
        <r>
          <rPr>
            <sz val="10"/>
            <rFont val="Arial"/>
            <family val="2"/>
          </rPr>
          <t xml:space="preserve">Vitesse max la plus cohérente (m/s) : calcul, wiki et fichier croisés. Voir la feuille « Vitesse (calcul) » pour les règles, l'origine de chaque valeur et les paramètres.</t>
        </r>
      </text>
    </comment>
  </commentList>
</comments>
</file>

<file path=xl/sharedStrings.xml><?xml version="1.0" encoding="utf-8"?>
<sst xmlns="http://schemas.openxmlformats.org/spreadsheetml/2006/main" count="964" uniqueCount="260">
  <si>
    <t xml:space="preserve">Stats globales</t>
  </si>
  <si>
    <t xml:space="preserve">Capacité Air-Sol (note /5)</t>
  </si>
  <si>
    <t xml:space="preserve">Capacité AA (note /5)</t>
  </si>
  <si>
    <t xml:space="preserve">Interception (note /5)</t>
  </si>
  <si>
    <t xml:space="preserve">Arme</t>
  </si>
  <si>
    <t xml:space="preserve">Source</t>
  </si>
  <si>
    <t xml:space="preserve">Type</t>
  </si>
  <si>
    <t xml:space="preserve">Méthode ciblage</t>
  </si>
  <si>
    <t xml:space="preserve">Pénétration</t>
  </si>
  <si>
    <t xml:space="preserve">Explosif (kg éq. TNT)</t>
  </si>
  <si>
    <t xml:space="preserve">Coût (M$)</t>
  </si>
  <si>
    <t xml:space="preserve">Explosif / M$</t>
  </si>
  <si>
    <t xml:space="preserve">Portée min (m)</t>
  </si>
  <si>
    <t xml:space="preserve">Portée max (m)</t>
  </si>
  <si>
    <t xml:space="preserve">Vitesse max (m/s)</t>
  </si>
  <si>
    <t xml:space="preserve">Vitesse indicielle (/10)</t>
  </si>
  <si>
    <t xml:space="preserve">Méthode d'approche</t>
  </si>
  <si>
    <t xml:space="preserve">Besoin laser ? (Oui/Non)</t>
  </si>
  <si>
    <t xml:space="preserve">Fire and Forget (Oui/Non)</t>
  </si>
  <si>
    <t xml:space="preserve">Véhicules légers</t>
  </si>
  <si>
    <t xml:space="preserve">Chars</t>
  </si>
  <si>
    <t xml:space="preserve">Bâtiments légers</t>
  </si>
  <si>
    <t xml:space="preserve">Gros bâtiments</t>
  </si>
  <si>
    <t xml:space="preserve">Bunker</t>
  </si>
  <si>
    <t xml:space="preserve">Navire léger</t>
  </si>
  <si>
    <t xml:space="preserve">Navire moyen</t>
  </si>
  <si>
    <t xml:space="preserve">Porte-avions</t>
  </si>
  <si>
    <t xml:space="preserve">Petit avion</t>
  </si>
  <si>
    <t xml:space="preserve">Moyen avion</t>
  </si>
  <si>
    <t xml:space="preserve">Gros avion</t>
  </si>
  <si>
    <t xml:space="preserve">Virage / Agilité</t>
  </si>
  <si>
    <t xml:space="preserve">Signature radar (RCS wiki, valeur brute)</t>
  </si>
  <si>
    <t xml:space="preserve">Signature IR</t>
  </si>
  <si>
    <t xml:space="preserve">Résistance laser</t>
  </si>
  <si>
    <t xml:space="preserve">Difficulté à toucher (site AA complet)</t>
  </si>
  <si>
    <t xml:space="preserve">??? (variante 3)</t>
  </si>
  <si>
    <t xml:space="preserve">Jeu de base</t>
  </si>
  <si>
    <t xml:space="preserve">Autre / équipement</t>
  </si>
  <si>
    <t xml:space="preserve">Optique/TV (opérateur)</t>
  </si>
  <si>
    <t xml:space="preserve">loft 0.2; évasion zigzag 0.1</t>
  </si>
  <si>
    <t xml:space="preserve">GS25</t>
  </si>
  <si>
    <t xml:space="preserve">loft 0.5</t>
  </si>
  <si>
    <t xml:space="preserve">??? (variante 1)</t>
  </si>
  <si>
    <t xml:space="preserve">Bombe</t>
  </si>
  <si>
    <t xml:space="preserve">Optique (bombe)</t>
  </si>
  <si>
    <t xml:space="preserve">CBO-400</t>
  </si>
  <si>
    <t xml:space="preserve">Demolition Bomb</t>
  </si>
  <si>
    <t xml:space="preserve">GPO-2P Auger</t>
  </si>
  <si>
    <t xml:space="preserve">GPO-500</t>
  </si>
  <si>
    <t xml:space="preserve">PAB-125</t>
  </si>
  <si>
    <t xml:space="preserve">PAB-125HD</t>
  </si>
  <si>
    <t xml:space="preserve">PAB-250</t>
  </si>
  <si>
    <t xml:space="preserve">GPO-N (1.5kt)</t>
  </si>
  <si>
    <t xml:space="preserve">Bombe nucléaire</t>
  </si>
  <si>
    <t xml:space="preserve">GPO-N (250kt)</t>
  </si>
  <si>
    <t xml:space="preserve">GBM-500LR</t>
  </si>
  <si>
    <t xml:space="preserve">Bombe planante guidée</t>
  </si>
  <si>
    <t xml:space="preserve">datalink; loft 0.05; attaque par le haut (proba 1.0, 1000-50000 m)</t>
  </si>
  <si>
    <t xml:space="preserve">PAB-250LR</t>
  </si>
  <si>
    <t xml:space="preserve">datalink; loft 0.05</t>
  </si>
  <si>
    <t xml:space="preserve">PAB-80LR</t>
  </si>
  <si>
    <t xml:space="preserve">Radar Jamming Pod</t>
  </si>
  <si>
    <t xml:space="preserve">Brouilleur (nacelle)</t>
  </si>
  <si>
    <t xml:space="preserve">12.7mm Machine Gun</t>
  </si>
  <si>
    <t xml:space="preserve">Canon / mitrailleuse / lance-grenade</t>
  </si>
  <si>
    <t xml:space="preserve">12.7mm Rotary Machine Gun</t>
  </si>
  <si>
    <t xml:space="preserve">127mm Cannon</t>
  </si>
  <si>
    <t xml:space="preserve">130mm Cannon</t>
  </si>
  <si>
    <t xml:space="preserve">155mm Cannon</t>
  </si>
  <si>
    <t xml:space="preserve">155mm Railgun</t>
  </si>
  <si>
    <t xml:space="preserve">20mm Autocannon</t>
  </si>
  <si>
    <t xml:space="preserve">20mm Rotary Cannon (variante 1)</t>
  </si>
  <si>
    <t xml:space="preserve">20mm Rotary Cannon (variante 2)</t>
  </si>
  <si>
    <t xml:space="preserve">20mm Rotary Cannon (variante 3)</t>
  </si>
  <si>
    <t xml:space="preserve">23mm Autocannon</t>
  </si>
  <si>
    <t xml:space="preserve">25mm Autocannon</t>
  </si>
  <si>
    <t xml:space="preserve">25mm Rotary Cannon</t>
  </si>
  <si>
    <t xml:space="preserve">27mm Autocannon</t>
  </si>
  <si>
    <t xml:space="preserve">30mm Cannon</t>
  </si>
  <si>
    <t xml:space="preserve">30mm Chaingun</t>
  </si>
  <si>
    <t xml:space="preserve">30mm Rotary Cannon (variante 1)</t>
  </si>
  <si>
    <t xml:space="preserve">30mm Rotary Cannon (variante 2)</t>
  </si>
  <si>
    <t xml:space="preserve">35mm Autocannon</t>
  </si>
  <si>
    <t xml:space="preserve">40mm Cannon</t>
  </si>
  <si>
    <t xml:space="preserve">40mm GMG</t>
  </si>
  <si>
    <t xml:space="preserve">40mm Grenade</t>
  </si>
  <si>
    <t xml:space="preserve">57mm Cannon (variante 1)</t>
  </si>
  <si>
    <t xml:space="preserve">57mm Cannon (variante 2)</t>
  </si>
  <si>
    <t xml:space="preserve">57mm Cannon (variante 3)</t>
  </si>
  <si>
    <t xml:space="preserve">57mm Cannon (variante 4)</t>
  </si>
  <si>
    <t xml:space="preserve">70mm Light AT</t>
  </si>
  <si>
    <t xml:space="preserve">76mm Cannon (variante 1)</t>
  </si>
  <si>
    <t xml:space="preserve">76mm Cannon (variante 2)</t>
  </si>
  <si>
    <t xml:space="preserve">??? (variante 2)</t>
  </si>
  <si>
    <t xml:space="preserve">??? (variante 4)</t>
  </si>
  <si>
    <t xml:space="preserve">Light Machine Gun</t>
  </si>
  <si>
    <t xml:space="preserve">AAM-29 Scythe</t>
  </si>
  <si>
    <t xml:space="preserve">Missile</t>
  </si>
  <si>
    <t xml:space="preserve">Radar actif (ARH)</t>
  </si>
  <si>
    <t xml:space="preserve">loft 0.7; évasion zigzag 0.2; phase terminale à 12000 m</t>
  </si>
  <si>
    <t xml:space="preserve">AAM-36 Scimitar</t>
  </si>
  <si>
    <t xml:space="preserve">loft 0.1; évasion zigzag 0.3; phase terminale à 12000 m</t>
  </si>
  <si>
    <t xml:space="preserve">AGM-48</t>
  </si>
  <si>
    <t xml:space="preserve">datalink; loft 0.2; évasion zigzag 0.1; évite le relief</t>
  </si>
  <si>
    <t xml:space="preserve">AGM-68</t>
  </si>
  <si>
    <t xml:space="preserve">datalink; loft 0.2; évasion zigzag 0.07; évite le relief</t>
  </si>
  <si>
    <t xml:space="preserve">AGM-99</t>
  </si>
  <si>
    <t xml:space="preserve">Optique croisière</t>
  </si>
  <si>
    <t xml:space="preserve">attaque par le haut (proba 0.25, 700-2000 m); rase-flots/rase-sol 6.0 m; évasion zigzag 0.2; accélération terminale (500-8000 m); phase terminale à 8000 m</t>
  </si>
  <si>
    <t xml:space="preserve">ALM-C450</t>
  </si>
  <si>
    <t xml:space="preserve">rase-flots/rase-sol 12.0 m; phase terminale à 3000 m</t>
  </si>
  <si>
    <t xml:space="preserve">ARAD-116</t>
  </si>
  <si>
    <t xml:space="preserve">Anti-radar (ARM)</t>
  </si>
  <si>
    <t xml:space="preserve">loft 0.3; évasion zigzag 0.2</t>
  </si>
  <si>
    <t xml:space="preserve">ARAD-45</t>
  </si>
  <si>
    <t xml:space="preserve">loft 0.3</t>
  </si>
  <si>
    <t xml:space="preserve">AShM-300</t>
  </si>
  <si>
    <t xml:space="preserve">rase-flots/rase-sol 8.0 m; évasion zigzag 0.05; phase terminale à 5000 m</t>
  </si>
  <si>
    <t xml:space="preserve">AT-145</t>
  </si>
  <si>
    <t xml:space="preserve">datalink; loft 0.1</t>
  </si>
  <si>
    <t xml:space="preserve">ATP-1</t>
  </si>
  <si>
    <t xml:space="preserve">datalink; loft 0.1; attaque par le haut (proba 1.0, 300-8000 m); angle d'attaque haut 60.0°</t>
  </si>
  <si>
    <t xml:space="preserve">Eyeball Mk.II</t>
  </si>
  <si>
    <t xml:space="preserve">datalink; loft 0.4; évasion zigzag 0.3; évite le relief</t>
  </si>
  <si>
    <t xml:space="preserve">IRM-S1</t>
  </si>
  <si>
    <t xml:space="preserve">IR</t>
  </si>
  <si>
    <t xml:space="preserve">IRM-S2</t>
  </si>
  <si>
    <t xml:space="preserve">MMR-S3</t>
  </si>
  <si>
    <t xml:space="preserve">NL-98</t>
  </si>
  <si>
    <t xml:space="preserve">loft 0.3; phase terminale à 12000 m</t>
  </si>
  <si>
    <t xml:space="preserve">Piledriver TBM</t>
  </si>
  <si>
    <t xml:space="preserve">Balistique</t>
  </si>
  <si>
    <t xml:space="preserve">RAM-45</t>
  </si>
  <si>
    <t xml:space="preserve">Radar semi-actif (SARH)</t>
  </si>
  <si>
    <t xml:space="preserve">StratoLance R9</t>
  </si>
  <si>
    <t xml:space="preserve">Tusko-B (HE)</t>
  </si>
  <si>
    <t xml:space="preserve">datalink; loft 1.0; évasion zigzag 0.04</t>
  </si>
  <si>
    <t xml:space="preserve">AIR-2 Genie</t>
  </si>
  <si>
    <t xml:space="preserve">Missile nucléaire</t>
  </si>
  <si>
    <t xml:space="preserve">ALND-4 (20kt)</t>
  </si>
  <si>
    <t xml:space="preserve">rase-flots/rase-sol 12.0 m; phase terminale à 2000 m</t>
  </si>
  <si>
    <t xml:space="preserve">Piledriver TBM (20kt)</t>
  </si>
  <si>
    <t xml:space="preserve">MLRS Rocket</t>
  </si>
  <si>
    <t xml:space="preserve">Roquette / obus guidé</t>
  </si>
  <si>
    <t xml:space="preserve">Inertiel/GPS (obus)</t>
  </si>
  <si>
    <t xml:space="preserve">datalink</t>
  </si>
  <si>
    <t xml:space="preserve">AGR-18 Lynchpin</t>
  </si>
  <si>
    <t xml:space="preserve">Roquette guidée laser</t>
  </si>
  <si>
    <t xml:space="preserve">Laser</t>
  </si>
  <si>
    <t xml:space="preserve">AGR-24 Kingpin</t>
  </si>
  <si>
    <t xml:space="preserve">120kw Laser</t>
  </si>
  <si>
    <t xml:space="preserve">Énergie / équipement</t>
  </si>
  <si>
    <t xml:space="preserve">20kw Laser</t>
  </si>
  <si>
    <t xml:space="preserve">80kw Laser</t>
  </si>
  <si>
    <t xml:space="preserve">Radome</t>
  </si>
  <si>
    <t xml:space="preserve">Special Flare</t>
  </si>
  <si>
    <t xml:space="preserve">Special Smoke</t>
  </si>
  <si>
    <t xml:space="preserve">20mm M61 Vulcan Cannon</t>
  </si>
  <si>
    <t xml:space="preserve">Aryx F-16M</t>
  </si>
  <si>
    <t xml:space="preserve">Aryx F-99 Shrike</t>
  </si>
  <si>
    <t xml:space="preserve">20mm Rotary Cannon (Hi-RPM)</t>
  </si>
  <si>
    <t xml:space="preserve">Aryx FS-41 Eclipse</t>
  </si>
  <si>
    <t xml:space="preserve">20mm Rotary Cannon (LO-RPM)</t>
  </si>
  <si>
    <t xml:space="preserve">30mm Autocannon</t>
  </si>
  <si>
    <t xml:space="preserve">AAM-45 Sabre</t>
  </si>
  <si>
    <t xml:space="preserve">loft 0.35; évasion zigzag 0.2; phase terminale à 8000 m</t>
  </si>
  <si>
    <t xml:space="preserve">SAM-85 Whirlwind</t>
  </si>
  <si>
    <t xml:space="preserve">200kW Blue Laser</t>
  </si>
  <si>
    <t xml:space="preserve">105mm Cannon</t>
  </si>
  <si>
    <t xml:space="preserve">Aryx MC-260 Chimera</t>
  </si>
  <si>
    <t xml:space="preserve">105mm Howitzer</t>
  </si>
  <si>
    <t xml:space="preserve">127mm Railgun</t>
  </si>
  <si>
    <t xml:space="preserve">152mm Cannon</t>
  </si>
  <si>
    <t xml:space="preserve">30mm Rotary Cannon</t>
  </si>
  <si>
    <t xml:space="preserve">35mm AA Autocannon</t>
  </si>
  <si>
    <t xml:space="preserve">57mm Chaingun</t>
  </si>
  <si>
    <t xml:space="preserve">81mm Mortar</t>
  </si>
  <si>
    <t xml:space="preserve">37mm Autocannon</t>
  </si>
  <si>
    <t xml:space="preserve">Aryx MiG-15</t>
  </si>
  <si>
    <t xml:space="preserve">57mm Autocannon</t>
  </si>
  <si>
    <t xml:space="preserve">130mm Railgun</t>
  </si>
  <si>
    <t xml:space="preserve">Aryx NAVEX</t>
  </si>
  <si>
    <t xml:space="preserve">2000kg HE Warhead</t>
  </si>
  <si>
    <t xml:space="preserve">203mm Deck Gun</t>
  </si>
  <si>
    <t xml:space="preserve">23mm CIWS</t>
  </si>
  <si>
    <t xml:space="preserve">SLND-9 (20kt)</t>
  </si>
  <si>
    <t xml:space="preserve">attaque par le haut (proba 0.1, 600-1000 m); rase-flots/rase-sol 8.0 m; évasion zigzag 0.1; phase terminale à 2000 m</t>
  </si>
  <si>
    <t xml:space="preserve">14.5mm Machine Gun</t>
  </si>
  <si>
    <t xml:space="preserve">Aryx OA-27 Cavalier</t>
  </si>
  <si>
    <t xml:space="preserve">Aryx RAH-72</t>
  </si>
  <si>
    <t xml:space="preserve">PAB-3000LR</t>
  </si>
  <si>
    <t xml:space="preserve">Aryx Weaponry Pack</t>
  </si>
  <si>
    <t xml:space="preserve">PGM-400LR</t>
  </si>
  <si>
    <t xml:space="preserve">datalink; loft 0.055</t>
  </si>
  <si>
    <t xml:space="preserve">ASD-16 Submunition Dispenser</t>
  </si>
  <si>
    <t xml:space="preserve">Distributeur de sous-munitions</t>
  </si>
  <si>
    <t xml:space="preserve">AGM-111 Nemesis</t>
  </si>
  <si>
    <t xml:space="preserve">AGM-27 Pyre</t>
  </si>
  <si>
    <t xml:space="preserve">AGM-76 Atlatl</t>
  </si>
  <si>
    <t xml:space="preserve">rase-flots/rase-sol 7.5 m; évasion zigzag 0.05; phase terminale à 3000 m</t>
  </si>
  <si>
    <t xml:space="preserve">HSM-750 Starfall</t>
  </si>
  <si>
    <t xml:space="preserve">Inertiel + datalink (hypersonique)</t>
  </si>
  <si>
    <t xml:space="preserve">croisière à 20000 m, montée 25°, plongeon terminal 60° (10000-40000 m)</t>
  </si>
  <si>
    <t xml:space="preserve">IRM-S5 Gladius</t>
  </si>
  <si>
    <t xml:space="preserve">MRM-S4 Broadsword</t>
  </si>
  <si>
    <t xml:space="preserve">R-100N Zenith</t>
  </si>
  <si>
    <t xml:space="preserve">Radar/inertiel — intercepteur antibalistique</t>
  </si>
  <si>
    <t xml:space="preserve">hit-to-kill (rayon de capture 150 m), armement &gt; 750 m</t>
  </si>
  <si>
    <t xml:space="preserve">HSM-N Sunfall</t>
  </si>
  <si>
    <t xml:space="preserve">Tusko-N (1.5kt)</t>
  </si>
  <si>
    <t xml:space="preserve">ETS-15 Targeting Pod</t>
  </si>
  <si>
    <t xml:space="preserve">Nacelle de ciblage</t>
  </si>
  <si>
    <t xml:space="preserve">ECS-16 Countermeasure Dispenser</t>
  </si>
  <si>
    <t xml:space="preserve">Rack de leurres</t>
  </si>
  <si>
    <t xml:space="preserve">ECS-32 Countermeasure Dispenser</t>
  </si>
  <si>
    <t xml:space="preserve">AGR-37 Jester</t>
  </si>
  <si>
    <t xml:space="preserve">1200kg Drop Tank</t>
  </si>
  <si>
    <t xml:space="preserve">Réservoir largable</t>
  </si>
  <si>
    <t xml:space="preserve">2000kg Drop Tank</t>
  </si>
  <si>
    <t xml:space="preserve">450kg Drop Tank</t>
  </si>
  <si>
    <t xml:space="preserve">20mm Rotary Cannon</t>
  </si>
  <si>
    <t xml:space="preserve">FS-3 Ternion</t>
  </si>
  <si>
    <t xml:space="preserve">5MW Laser</t>
  </si>
  <si>
    <t xml:space="preserve">Vitesse maximale la plus cohérente — calcul, sources et paramètres</t>
  </si>
  <si>
    <t xml:space="preserve">Paramètres (texte bleu, modifiables)</t>
  </si>
  <si>
    <t xml:space="preserve">Plafond fusée — jeu de base (m/s)</t>
  </si>
  <si>
    <t xml:space="preserve">Ajusté sur les valeurs « Delta-V » du wiki des missiles dont le calcul dépasse 1 430 m/s.</t>
  </si>
  <si>
    <t xml:space="preserve">Plafond fusée — mods (m/s)</t>
  </si>
  <si>
    <t xml:space="preserve">Valeur déclarée par l'auteur du pack Aryx (Starfall, Zenith).</t>
  </si>
  <si>
    <t xml:space="preserve">Coefficient croisière k (m/s par √poussée)</t>
  </si>
  <si>
    <t xml:space="preserve">v ≈ k·√poussée, ajusté sur 4 missiles de croisière du wiki.</t>
  </si>
  <si>
    <t xml:space="preserve">Durée de poussée minimale « croisière » (s)</t>
  </si>
  <si>
    <t xml:space="preserve">Au-delà, avec une poussée faible, le moteur est de type turboréacteur.</t>
  </si>
  <si>
    <t xml:space="preserve">Poussée / poids maximal « croisière »</t>
  </si>
  <si>
    <t xml:space="preserve">Accélération de la pesanteur g (m/s²)</t>
  </si>
  <si>
    <t xml:space="preserve">Armes à feu incluses dans la note /10 (1 = oui, 0 = non)</t>
  </si>
  <si>
    <t xml:space="preserve">Mettre 0 pour ne noter que les munitions propulsées (missiles, roquettes).</t>
  </si>
  <si>
    <t xml:space="preserve">Règles de choix de la vitesse max (colonne P) :</t>
  </si>
  <si>
    <t xml:space="preserve">• Munitions propulsées (poussée connue) : si la vitesse fixée du fichier ET la valeur Delta-V du wiki existent → médiane (fichier ; wiki ; calcul). Sinon wiki, sinon vitesse fixée du fichier, sinon calcul. Le calcul = équation de la fusée (Tsiolkovski) plafonnée, ou k·√poussée pour les missiles de croisière.</t>
  </si>
  <si>
    <t xml:space="preserve">• Armes à feu : vitesse initiale (bouche) ; si une vitesse max fixée plus basse existe, on prend la plus basse des deux.</t>
  </si>
  <si>
    <t xml:space="preserve">• Bombes, lasers, nacelles, leurres, réservoirs, sous-munitions et équipements : aucune vitesse définie par le jeu (chute libre, vitesse de la lumière ou objet non propulsé) → N/A.</t>
  </si>
  <si>
    <t xml:space="preserve">Note /10 : 1 + 9 × (rang centile de la vitesse parmi les armes notées). Les ex æquo reçoivent tous la note du haut du groupe (les missiles plafonnés à 2 000 m/s ont donc 10).</t>
  </si>
  <si>
    <t xml:space="preserve">Origine des entrées : fichier NO-stats (poussée, durée, carburant, masse, vitesses fixées) ; page Munitions du wiki Nuclear Option (colonne « Delta-V (Top Speed) », version possiblement antérieure à 0.34).</t>
  </si>
  <si>
    <t xml:space="preserve">Clé (Arme|Source)</t>
  </si>
  <si>
    <t xml:space="preserve">Classe</t>
  </si>
  <si>
    <t xml:space="preserve">Masse (kg)</t>
  </si>
  <si>
    <t xml:space="preserve">Poussée</t>
  </si>
  <si>
    <t xml:space="preserve">Durée de poussée (s)</t>
  </si>
  <si>
    <t xml:space="preserve">Carburant (kg)</t>
  </si>
  <si>
    <t xml:space="preserve">Vitesse initiale / bouche (m/s)</t>
  </si>
  <si>
    <t xml:space="preserve">Vitesse max fixée (fichier, m/s)</t>
  </si>
  <si>
    <t xml:space="preserve">Vitesse wiki Delta-V (m/s)</t>
  </si>
  <si>
    <t xml:space="preserve">Δv Tsiolkovski (m/s)</t>
  </si>
  <si>
    <t xml:space="preserve">Régime moteur</t>
  </si>
  <si>
    <t xml:space="preserve">Vitesse calculée (m/s)</t>
  </si>
  <si>
    <t xml:space="preserve">Vitesse max retenue (m/s)</t>
  </si>
  <si>
    <t xml:space="preserve">Origine de la vitesse</t>
  </si>
  <si>
    <t xml:space="preserve">Vitesse prise en compte pour la note (m/s)</t>
  </si>
  <si>
    <t xml:space="preserve">Note /10</t>
  </si>
  <si>
    <t xml:space="preserve">Ancienne note /10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</si>
</sst>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"/>
    <numFmt numFmtId="167" formatCode="0&quot;/5 Over&quot;"/>
    <numFmt numFmtId="168" formatCode="0&quot;/5&quot;"/>
    <numFmt numFmtId="169" formatCode="#,##0.##"/>
    <numFmt numFmtId="170" formatCode="0.0#"/>
    <numFmt numFmtId="171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F5D8A"/>
        <bgColor rgb="FF2E6B4F"/>
      </patternFill>
    </fill>
    <fill>
      <patternFill patternType="solid">
        <fgColor rgb="FF7A4E2D"/>
        <bgColor rgb="FF7B3F6B"/>
      </patternFill>
    </fill>
    <fill>
      <patternFill patternType="solid">
        <fgColor rgb="FF2E6B4F"/>
        <bgColor rgb="FF2F5D8A"/>
      </patternFill>
    </fill>
    <fill>
      <patternFill patternType="solid">
        <fgColor rgb="FF7B3F6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D8A"/>
          <bgColor rgb="FF000000"/>
        </patternFill>
      </fill>
    </dxf>
    <dxf>
      <fill>
        <patternFill patternType="solid">
          <fgColor rgb="FF7A4E2D"/>
          <bgColor rgb="FF000000"/>
        </patternFill>
      </fill>
    </dxf>
    <dxf>
      <fill>
        <patternFill patternType="solid">
          <fgColor rgb="FF2E6B4F"/>
          <bgColor rgb="FF000000"/>
        </patternFill>
      </fill>
    </dxf>
    <dxf>
      <fill>
        <patternFill patternType="solid">
          <fgColor rgb="FF7B3F6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4F"/>
      <rgbColor rgb="FFC0C0C0"/>
      <rgbColor rgb="FF808080"/>
      <rgbColor rgb="FF9999FF"/>
      <rgbColor rgb="FF7B3F6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D8A"/>
      <rgbColor rgb="FF969696"/>
      <rgbColor rgb="FF1F3A5F"/>
      <rgbColor rgb="FF339966"/>
      <rgbColor rgb="FF003300"/>
      <rgbColor rgb="FF333300"/>
      <rgbColor rgb="FF7A4E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12" min="5" style="0" width="14"/>
    <col collapsed="false" customWidth="true" hidden="false" outlineLevel="0" max="13" min="13" style="0" width="38"/>
    <col collapsed="false" customWidth="true" hidden="false" outlineLevel="0" max="31" min="14" style="0" width="14"/>
  </cols>
  <sheetData>
    <row r="1" customFormat="false" ht="15" hidden="false" customHeight="fals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4" t="s">
        <v>2</v>
      </c>
      <c r="Y1" s="4"/>
      <c r="Z1" s="4"/>
      <c r="AA1" s="4"/>
      <c r="AB1" s="5" t="s">
        <v>3</v>
      </c>
      <c r="AC1" s="5"/>
      <c r="AD1" s="5"/>
      <c r="AE1" s="5"/>
    </row>
    <row r="2" customFormat="false" ht="48" hidden="false" customHeight="true" outlineLevel="0" collapsed="false">
      <c r="A2" s="6" t="s">
        <v>4</v>
      </c>
      <c r="B2" s="6" t="s">
        <v>5</v>
      </c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8" t="s">
        <v>19</v>
      </c>
      <c r="Q2" s="8" t="s">
        <v>20</v>
      </c>
      <c r="R2" s="8" t="s">
        <v>21</v>
      </c>
      <c r="S2" s="8" t="s">
        <v>22</v>
      </c>
      <c r="T2" s="8" t="s">
        <v>23</v>
      </c>
      <c r="U2" s="8" t="s">
        <v>24</v>
      </c>
      <c r="V2" s="8" t="s">
        <v>25</v>
      </c>
      <c r="W2" s="8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</row>
    <row r="3" customFormat="false" ht="15" hidden="false" customHeight="false" outlineLevel="0" collapsed="false">
      <c r="A3" s="11" t="s">
        <v>35</v>
      </c>
      <c r="B3" s="11" t="s">
        <v>36</v>
      </c>
      <c r="C3" s="11" t="s">
        <v>37</v>
      </c>
      <c r="D3" s="11" t="s">
        <v>38</v>
      </c>
      <c r="E3" s="12" t="n">
        <v>1500</v>
      </c>
      <c r="F3" s="12" t="n">
        <v>2</v>
      </c>
      <c r="G3" s="12" t="n">
        <v>0</v>
      </c>
      <c r="H3" s="11"/>
      <c r="I3" s="11"/>
      <c r="J3" s="12" t="n">
        <v>7000</v>
      </c>
      <c r="K3" s="13" t="n">
        <f aca="false">IFERROR(INDEX('Vitesse (calcul)'!$P$21:$P$153,MATCH($A3&amp;"|"&amp;$B3,'Vitesse (calcul)'!$A$21:$A$153,0)),"N/A")</f>
        <v>597.88</v>
      </c>
      <c r="L3" s="14" t="n">
        <f aca="false">IFERROR(INDEX('Vitesse (calcul)'!$S$21:$S$153,MATCH($A3&amp;"|"&amp;$B3,'Vitesse (calcul)'!$A$21:$A$153,0)),"N/A")</f>
        <v>2.7</v>
      </c>
      <c r="M3" s="11" t="s">
        <v>39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customFormat="false" ht="15" hidden="false" customHeight="false" outlineLevel="0" collapsed="false">
      <c r="A4" s="11" t="s">
        <v>40</v>
      </c>
      <c r="B4" s="11" t="s">
        <v>36</v>
      </c>
      <c r="C4" s="11" t="s">
        <v>37</v>
      </c>
      <c r="D4" s="11" t="s">
        <v>38</v>
      </c>
      <c r="E4" s="12" t="n">
        <v>1200</v>
      </c>
      <c r="F4" s="12" t="n">
        <v>15</v>
      </c>
      <c r="G4" s="12" t="n">
        <v>0.04</v>
      </c>
      <c r="H4" s="12" t="n">
        <v>375</v>
      </c>
      <c r="I4" s="12" t="n">
        <v>1000</v>
      </c>
      <c r="J4" s="12" t="n">
        <v>10000</v>
      </c>
      <c r="K4" s="13" t="str">
        <f aca="false">IFERROR(INDEX('Vitesse (calcul)'!$P$21:$P$153,MATCH($A4&amp;"|"&amp;$B4,'Vitesse (calcul)'!$A$21:$A$153,0)),"N/A")</f>
        <v>N/A</v>
      </c>
      <c r="L4" s="15" t="str">
        <f aca="false">IFERROR(INDEX('Vitesse (calcul)'!$S$21:$S$153,MATCH($A4&amp;"|"&amp;$B4,'Vitesse (calcul)'!$A$21:$A$153,0)),"N/A")</f>
        <v>N/A</v>
      </c>
      <c r="M4" s="11" t="s">
        <v>41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customFormat="false" ht="15" hidden="false" customHeight="false" outlineLevel="0" collapsed="false">
      <c r="A5" s="11" t="s">
        <v>42</v>
      </c>
      <c r="B5" s="11" t="s">
        <v>36</v>
      </c>
      <c r="C5" s="11" t="s">
        <v>43</v>
      </c>
      <c r="D5" s="11" t="s">
        <v>44</v>
      </c>
      <c r="E5" s="12" t="n">
        <v>2000</v>
      </c>
      <c r="F5" s="12" t="n">
        <v>11000</v>
      </c>
      <c r="G5" s="12" t="n">
        <v>0</v>
      </c>
      <c r="H5" s="11"/>
      <c r="I5" s="11"/>
      <c r="J5" s="12" t="n">
        <v>10000</v>
      </c>
      <c r="K5" s="13" t="str">
        <f aca="false">IFERROR(INDEX('Vitesse (calcul)'!$P$21:$P$153,MATCH($A5&amp;"|"&amp;$B5,'Vitesse (calcul)'!$A$21:$A$153,0)),"N/A")</f>
        <v>N/A</v>
      </c>
      <c r="L5" s="15" t="str">
        <f aca="false">IFERROR(INDEX('Vitesse (calcul)'!$S$21:$S$153,MATCH($A5&amp;"|"&amp;$B5,'Vitesse (calcul)'!$A$21:$A$153,0)),"N/A")</f>
        <v>N/A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customFormat="false" ht="15" hidden="false" customHeight="false" outlineLevel="0" collapsed="false">
      <c r="A6" s="11" t="s">
        <v>45</v>
      </c>
      <c r="B6" s="11" t="s">
        <v>36</v>
      </c>
      <c r="C6" s="11" t="s">
        <v>43</v>
      </c>
      <c r="D6" s="11" t="s">
        <v>44</v>
      </c>
      <c r="E6" s="12" t="n">
        <v>0</v>
      </c>
      <c r="F6" s="12" t="n">
        <v>0</v>
      </c>
      <c r="G6" s="12" t="n">
        <v>0.36</v>
      </c>
      <c r="H6" s="12" t="n">
        <v>0</v>
      </c>
      <c r="I6" s="11"/>
      <c r="J6" s="12" t="n">
        <v>5000</v>
      </c>
      <c r="K6" s="13" t="str">
        <f aca="false">IFERROR(INDEX('Vitesse (calcul)'!$P$21:$P$153,MATCH($A6&amp;"|"&amp;$B6,'Vitesse (calcul)'!$A$21:$A$153,0)),"N/A")</f>
        <v>N/A</v>
      </c>
      <c r="L6" s="15" t="str">
        <f aca="false">IFERROR(INDEX('Vitesse (calcul)'!$S$21:$S$153,MATCH($A6&amp;"|"&amp;$B6,'Vitesse (calcul)'!$A$21:$A$153,0)),"N/A")</f>
        <v>N/A</v>
      </c>
      <c r="M6" s="11"/>
      <c r="N6" s="11"/>
      <c r="O6" s="11"/>
      <c r="P6" s="16" t="n">
        <v>5</v>
      </c>
      <c r="Q6" s="17" t="n">
        <v>5</v>
      </c>
      <c r="R6" s="17" t="n">
        <v>4</v>
      </c>
      <c r="S6" s="17" t="n">
        <v>3</v>
      </c>
      <c r="T6" s="17" t="n">
        <v>0</v>
      </c>
      <c r="U6" s="17" t="n">
        <v>4</v>
      </c>
      <c r="V6" s="17" t="n">
        <v>3</v>
      </c>
      <c r="W6" s="17" t="n">
        <v>0</v>
      </c>
      <c r="X6" s="11"/>
      <c r="Y6" s="11"/>
      <c r="Z6" s="11"/>
      <c r="AA6" s="11"/>
      <c r="AB6" s="12" t="n">
        <v>0.15</v>
      </c>
      <c r="AC6" s="12" t="n">
        <v>0</v>
      </c>
      <c r="AD6" s="12" t="n">
        <v>4</v>
      </c>
      <c r="AE6" s="12" t="n">
        <v>3</v>
      </c>
    </row>
    <row r="7" customFormat="false" ht="15" hidden="false" customHeight="false" outlineLevel="0" collapsed="false">
      <c r="A7" s="11" t="s">
        <v>46</v>
      </c>
      <c r="B7" s="11" t="s">
        <v>36</v>
      </c>
      <c r="C7" s="11" t="s">
        <v>43</v>
      </c>
      <c r="D7" s="11" t="s">
        <v>44</v>
      </c>
      <c r="E7" s="12" t="n">
        <v>2000</v>
      </c>
      <c r="F7" s="12" t="n">
        <v>11000</v>
      </c>
      <c r="G7" s="12" t="n">
        <v>0.15</v>
      </c>
      <c r="H7" s="12" t="n">
        <v>73333.3333333333</v>
      </c>
      <c r="I7" s="11"/>
      <c r="J7" s="12" t="n">
        <v>5000</v>
      </c>
      <c r="K7" s="13" t="str">
        <f aca="false">IFERROR(INDEX('Vitesse (calcul)'!$P$21:$P$153,MATCH($A7&amp;"|"&amp;$B7,'Vitesse (calcul)'!$A$21:$A$153,0)),"N/A")</f>
        <v>N/A</v>
      </c>
      <c r="L7" s="15" t="str">
        <f aca="false">IFERROR(INDEX('Vitesse (calcul)'!$S$21:$S$153,MATCH($A7&amp;"|"&amp;$B7,'Vitesse (calcul)'!$A$21:$A$153,0)),"N/A")</f>
        <v>N/A</v>
      </c>
      <c r="M7" s="11"/>
      <c r="N7" s="11"/>
      <c r="O7" s="11"/>
      <c r="P7" s="16" t="n">
        <v>5</v>
      </c>
      <c r="Q7" s="17" t="n">
        <v>5</v>
      </c>
      <c r="R7" s="17" t="n">
        <v>5</v>
      </c>
      <c r="S7" s="17" t="n">
        <v>5</v>
      </c>
      <c r="T7" s="17" t="n">
        <v>5</v>
      </c>
      <c r="U7" s="17" t="n">
        <v>5</v>
      </c>
      <c r="V7" s="17" t="n">
        <v>5</v>
      </c>
      <c r="W7" s="17" t="n">
        <v>4</v>
      </c>
      <c r="X7" s="11"/>
      <c r="Y7" s="11"/>
      <c r="Z7" s="11"/>
      <c r="AA7" s="11"/>
      <c r="AB7" s="12" t="n">
        <v>1</v>
      </c>
      <c r="AC7" s="12" t="n">
        <v>0</v>
      </c>
      <c r="AD7" s="12" t="n">
        <v>2</v>
      </c>
      <c r="AE7" s="12" t="n">
        <v>1</v>
      </c>
    </row>
    <row r="8" customFormat="false" ht="15" hidden="false" customHeight="false" outlineLevel="0" collapsed="false">
      <c r="A8" s="11" t="s">
        <v>47</v>
      </c>
      <c r="B8" s="11" t="s">
        <v>36</v>
      </c>
      <c r="C8" s="11" t="s">
        <v>43</v>
      </c>
      <c r="D8" s="11" t="s">
        <v>44</v>
      </c>
      <c r="E8" s="12" t="n">
        <v>3000</v>
      </c>
      <c r="F8" s="12" t="n">
        <v>800</v>
      </c>
      <c r="G8" s="12" t="n">
        <v>0.15</v>
      </c>
      <c r="H8" s="12" t="n">
        <v>5333.33333333333</v>
      </c>
      <c r="I8" s="11"/>
      <c r="J8" s="12" t="n">
        <v>5000</v>
      </c>
      <c r="K8" s="13" t="str">
        <f aca="false">IFERROR(INDEX('Vitesse (calcul)'!$P$21:$P$153,MATCH($A8&amp;"|"&amp;$B8,'Vitesse (calcul)'!$A$21:$A$153,0)),"N/A")</f>
        <v>N/A</v>
      </c>
      <c r="L8" s="15" t="str">
        <f aca="false">IFERROR(INDEX('Vitesse (calcul)'!$S$21:$S$153,MATCH($A8&amp;"|"&amp;$B8,'Vitesse (calcul)'!$A$21:$A$153,0)),"N/A")</f>
        <v>N/A</v>
      </c>
      <c r="M8" s="11"/>
      <c r="N8" s="11"/>
      <c r="O8" s="11"/>
      <c r="P8" s="16" t="n">
        <v>5</v>
      </c>
      <c r="Q8" s="17" t="n">
        <v>5</v>
      </c>
      <c r="R8" s="17" t="n">
        <v>5</v>
      </c>
      <c r="S8" s="17" t="n">
        <v>4</v>
      </c>
      <c r="T8" s="17" t="n">
        <v>5</v>
      </c>
      <c r="U8" s="17" t="n">
        <v>5</v>
      </c>
      <c r="V8" s="17" t="n">
        <v>4</v>
      </c>
      <c r="W8" s="17" t="n">
        <v>3</v>
      </c>
      <c r="X8" s="11"/>
      <c r="Y8" s="11"/>
      <c r="Z8" s="11"/>
      <c r="AA8" s="11"/>
      <c r="AB8" s="12" t="n">
        <v>0.2</v>
      </c>
      <c r="AC8" s="12" t="n">
        <v>0</v>
      </c>
      <c r="AD8" s="12" t="n">
        <v>5</v>
      </c>
      <c r="AE8" s="12" t="n">
        <v>1</v>
      </c>
    </row>
    <row r="9" customFormat="false" ht="15" hidden="false" customHeight="false" outlineLevel="0" collapsed="false">
      <c r="A9" s="11" t="s">
        <v>48</v>
      </c>
      <c r="B9" s="11" t="s">
        <v>36</v>
      </c>
      <c r="C9" s="11" t="s">
        <v>43</v>
      </c>
      <c r="D9" s="11" t="s">
        <v>44</v>
      </c>
      <c r="E9" s="12" t="n">
        <v>500</v>
      </c>
      <c r="F9" s="12" t="n">
        <v>400</v>
      </c>
      <c r="G9" s="12" t="n">
        <v>0.02</v>
      </c>
      <c r="H9" s="12" t="n">
        <v>20000</v>
      </c>
      <c r="I9" s="11"/>
      <c r="J9" s="12" t="n">
        <v>5000</v>
      </c>
      <c r="K9" s="13" t="str">
        <f aca="false">IFERROR(INDEX('Vitesse (calcul)'!$P$21:$P$153,MATCH($A9&amp;"|"&amp;$B9,'Vitesse (calcul)'!$A$21:$A$153,0)),"N/A")</f>
        <v>N/A</v>
      </c>
      <c r="L9" s="15" t="str">
        <f aca="false">IFERROR(INDEX('Vitesse (calcul)'!$S$21:$S$153,MATCH($A9&amp;"|"&amp;$B9,'Vitesse (calcul)'!$A$21:$A$153,0)),"N/A")</f>
        <v>N/A</v>
      </c>
      <c r="M9" s="11"/>
      <c r="N9" s="11"/>
      <c r="O9" s="11"/>
      <c r="P9" s="17" t="n">
        <v>5</v>
      </c>
      <c r="Q9" s="17" t="n">
        <v>4</v>
      </c>
      <c r="R9" s="17" t="n">
        <v>5</v>
      </c>
      <c r="S9" s="17" t="n">
        <v>4</v>
      </c>
      <c r="T9" s="17" t="n">
        <v>5</v>
      </c>
      <c r="U9" s="17" t="n">
        <v>5</v>
      </c>
      <c r="V9" s="17" t="n">
        <v>3</v>
      </c>
      <c r="W9" s="17" t="n">
        <v>2</v>
      </c>
      <c r="X9" s="11"/>
      <c r="Y9" s="11"/>
      <c r="Z9" s="11"/>
      <c r="AA9" s="11"/>
      <c r="AB9" s="12" t="n">
        <v>0.15</v>
      </c>
      <c r="AC9" s="12" t="n">
        <v>0</v>
      </c>
      <c r="AD9" s="12" t="n">
        <v>5</v>
      </c>
      <c r="AE9" s="12" t="n">
        <v>1</v>
      </c>
    </row>
    <row r="10" customFormat="false" ht="15" hidden="false" customHeight="false" outlineLevel="0" collapsed="false">
      <c r="A10" s="11" t="s">
        <v>49</v>
      </c>
      <c r="B10" s="11" t="s">
        <v>36</v>
      </c>
      <c r="C10" s="11" t="s">
        <v>43</v>
      </c>
      <c r="D10" s="11" t="s">
        <v>44</v>
      </c>
      <c r="E10" s="12" t="n">
        <v>200</v>
      </c>
      <c r="F10" s="12" t="n">
        <v>100</v>
      </c>
      <c r="G10" s="12" t="n">
        <v>0.01</v>
      </c>
      <c r="H10" s="12" t="n">
        <v>10000</v>
      </c>
      <c r="I10" s="11"/>
      <c r="J10" s="12" t="n">
        <v>4000</v>
      </c>
      <c r="K10" s="13" t="str">
        <f aca="false">IFERROR(INDEX('Vitesse (calcul)'!$P$21:$P$153,MATCH($A10&amp;"|"&amp;$B10,'Vitesse (calcul)'!$A$21:$A$153,0)),"N/A")</f>
        <v>N/A</v>
      </c>
      <c r="L10" s="15" t="str">
        <f aca="false">IFERROR(INDEX('Vitesse (calcul)'!$S$21:$S$153,MATCH($A10&amp;"|"&amp;$B10,'Vitesse (calcul)'!$A$21:$A$153,0)),"N/A")</f>
        <v>N/A</v>
      </c>
      <c r="M10" s="11"/>
      <c r="N10" s="11"/>
      <c r="O10" s="11"/>
      <c r="P10" s="17" t="n">
        <v>5</v>
      </c>
      <c r="Q10" s="17" t="n">
        <v>2</v>
      </c>
      <c r="R10" s="17" t="n">
        <v>4</v>
      </c>
      <c r="S10" s="17" t="n">
        <v>3</v>
      </c>
      <c r="T10" s="17" t="n">
        <v>0</v>
      </c>
      <c r="U10" s="17" t="n">
        <v>4</v>
      </c>
      <c r="V10" s="17" t="n">
        <v>2</v>
      </c>
      <c r="W10" s="17" t="n">
        <v>0</v>
      </c>
      <c r="X10" s="11"/>
      <c r="Y10" s="11"/>
      <c r="Z10" s="11"/>
      <c r="AA10" s="11"/>
      <c r="AB10" s="12" t="n">
        <v>0.05</v>
      </c>
      <c r="AC10" s="12" t="n">
        <v>0</v>
      </c>
      <c r="AD10" s="12" t="n">
        <v>1</v>
      </c>
      <c r="AE10" s="12" t="n">
        <v>0</v>
      </c>
    </row>
    <row r="11" customFormat="false" ht="15" hidden="false" customHeight="false" outlineLevel="0" collapsed="false">
      <c r="A11" s="11" t="s">
        <v>50</v>
      </c>
      <c r="B11" s="11" t="s">
        <v>36</v>
      </c>
      <c r="C11" s="11" t="s">
        <v>43</v>
      </c>
      <c r="D11" s="11" t="s">
        <v>44</v>
      </c>
      <c r="E11" s="12" t="n">
        <v>200</v>
      </c>
      <c r="F11" s="12" t="n">
        <v>100</v>
      </c>
      <c r="G11" s="12" t="n">
        <v>0.01</v>
      </c>
      <c r="H11" s="12" t="n">
        <v>10000</v>
      </c>
      <c r="I11" s="11"/>
      <c r="J11" s="12" t="n">
        <v>4000</v>
      </c>
      <c r="K11" s="13" t="str">
        <f aca="false">IFERROR(INDEX('Vitesse (calcul)'!$P$21:$P$153,MATCH($A11&amp;"|"&amp;$B11,'Vitesse (calcul)'!$A$21:$A$153,0)),"N/A")</f>
        <v>N/A</v>
      </c>
      <c r="L11" s="15" t="str">
        <f aca="false">IFERROR(INDEX('Vitesse (calcul)'!$S$21:$S$153,MATCH($A11&amp;"|"&amp;$B11,'Vitesse (calcul)'!$A$21:$A$153,0)),"N/A")</f>
        <v>N/A</v>
      </c>
      <c r="M11" s="11"/>
      <c r="N11" s="11"/>
      <c r="O11" s="11"/>
      <c r="P11" s="17" t="n">
        <v>5</v>
      </c>
      <c r="Q11" s="17" t="n">
        <v>2</v>
      </c>
      <c r="R11" s="17" t="n">
        <v>4</v>
      </c>
      <c r="S11" s="17" t="n">
        <v>3</v>
      </c>
      <c r="T11" s="17" t="n">
        <v>0</v>
      </c>
      <c r="U11" s="17" t="n">
        <v>4</v>
      </c>
      <c r="V11" s="17" t="n">
        <v>2</v>
      </c>
      <c r="W11" s="17" t="n">
        <v>0</v>
      </c>
      <c r="X11" s="11"/>
      <c r="Y11" s="11"/>
      <c r="Z11" s="11"/>
      <c r="AA11" s="11"/>
      <c r="AB11" s="12" t="n">
        <v>0.05</v>
      </c>
      <c r="AC11" s="12" t="n">
        <v>0</v>
      </c>
      <c r="AD11" s="12" t="n">
        <v>2</v>
      </c>
      <c r="AE11" s="12" t="n">
        <v>0</v>
      </c>
    </row>
    <row r="12" customFormat="false" ht="15" hidden="false" customHeight="false" outlineLevel="0" collapsed="false">
      <c r="A12" s="11" t="s">
        <v>51</v>
      </c>
      <c r="B12" s="11" t="s">
        <v>36</v>
      </c>
      <c r="C12" s="11" t="s">
        <v>43</v>
      </c>
      <c r="D12" s="11" t="s">
        <v>44</v>
      </c>
      <c r="E12" s="12" t="n">
        <v>350</v>
      </c>
      <c r="F12" s="12" t="n">
        <v>200</v>
      </c>
      <c r="G12" s="12" t="n">
        <v>0.015</v>
      </c>
      <c r="H12" s="12" t="n">
        <v>13333.3333333333</v>
      </c>
      <c r="I12" s="11"/>
      <c r="J12" s="12" t="n">
        <v>5000</v>
      </c>
      <c r="K12" s="13" t="str">
        <f aca="false">IFERROR(INDEX('Vitesse (calcul)'!$P$21:$P$153,MATCH($A12&amp;"|"&amp;$B12,'Vitesse (calcul)'!$A$21:$A$153,0)),"N/A")</f>
        <v>N/A</v>
      </c>
      <c r="L12" s="15" t="str">
        <f aca="false">IFERROR(INDEX('Vitesse (calcul)'!$S$21:$S$153,MATCH($A12&amp;"|"&amp;$B12,'Vitesse (calcul)'!$A$21:$A$153,0)),"N/A")</f>
        <v>N/A</v>
      </c>
      <c r="M12" s="11"/>
      <c r="N12" s="11"/>
      <c r="O12" s="11"/>
      <c r="P12" s="17" t="n">
        <v>5</v>
      </c>
      <c r="Q12" s="17" t="n">
        <v>3</v>
      </c>
      <c r="R12" s="17" t="n">
        <v>5</v>
      </c>
      <c r="S12" s="17" t="n">
        <v>3</v>
      </c>
      <c r="T12" s="17" t="n">
        <v>2</v>
      </c>
      <c r="U12" s="17" t="n">
        <v>4</v>
      </c>
      <c r="V12" s="17" t="n">
        <v>3</v>
      </c>
      <c r="W12" s="17" t="n">
        <v>1</v>
      </c>
      <c r="X12" s="11"/>
      <c r="Y12" s="11"/>
      <c r="Z12" s="11"/>
      <c r="AA12" s="11"/>
      <c r="AB12" s="12" t="n">
        <v>0.1</v>
      </c>
      <c r="AC12" s="12" t="n">
        <v>0</v>
      </c>
      <c r="AD12" s="12" t="n">
        <v>3</v>
      </c>
      <c r="AE12" s="12" t="n">
        <v>1</v>
      </c>
    </row>
    <row r="13" customFormat="false" ht="15" hidden="false" customHeight="false" outlineLevel="0" collapsed="false">
      <c r="A13" s="11" t="s">
        <v>52</v>
      </c>
      <c r="B13" s="11" t="s">
        <v>36</v>
      </c>
      <c r="C13" s="11" t="s">
        <v>53</v>
      </c>
      <c r="D13" s="11" t="s">
        <v>44</v>
      </c>
      <c r="E13" s="12" t="n">
        <v>500</v>
      </c>
      <c r="F13" s="12" t="n">
        <v>1500000</v>
      </c>
      <c r="G13" s="12" t="n">
        <v>28</v>
      </c>
      <c r="H13" s="12" t="n">
        <v>53571.4285714286</v>
      </c>
      <c r="I13" s="11"/>
      <c r="J13" s="12" t="n">
        <v>5000</v>
      </c>
      <c r="K13" s="13" t="str">
        <f aca="false">IFERROR(INDEX('Vitesse (calcul)'!$P$21:$P$153,MATCH($A13&amp;"|"&amp;$B13,'Vitesse (calcul)'!$A$21:$A$153,0)),"N/A")</f>
        <v>N/A</v>
      </c>
      <c r="L13" s="15" t="str">
        <f aca="false">IFERROR(INDEX('Vitesse (calcul)'!$S$21:$S$153,MATCH($A13&amp;"|"&amp;$B13,'Vitesse (calcul)'!$A$21:$A$153,0)),"N/A")</f>
        <v>N/A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customFormat="false" ht="15" hidden="false" customHeight="false" outlineLevel="0" collapsed="false">
      <c r="A14" s="11" t="s">
        <v>54</v>
      </c>
      <c r="B14" s="11" t="s">
        <v>36</v>
      </c>
      <c r="C14" s="11" t="s">
        <v>53</v>
      </c>
      <c r="D14" s="11" t="s">
        <v>44</v>
      </c>
      <c r="E14" s="12" t="n">
        <v>500</v>
      </c>
      <c r="F14" s="12" t="n">
        <v>250000000</v>
      </c>
      <c r="G14" s="12" t="n">
        <v>28</v>
      </c>
      <c r="H14" s="12" t="n">
        <v>8928571.42857143</v>
      </c>
      <c r="I14" s="11"/>
      <c r="J14" s="12" t="n">
        <v>5000</v>
      </c>
      <c r="K14" s="13" t="str">
        <f aca="false">IFERROR(INDEX('Vitesse (calcul)'!$P$21:$P$153,MATCH($A14&amp;"|"&amp;$B14,'Vitesse (calcul)'!$A$21:$A$153,0)),"N/A")</f>
        <v>N/A</v>
      </c>
      <c r="L14" s="15" t="str">
        <f aca="false">IFERROR(INDEX('Vitesse (calcul)'!$S$21:$S$153,MATCH($A14&amp;"|"&amp;$B14,'Vitesse (calcul)'!$A$21:$A$153,0)),"N/A")</f>
        <v>N/A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customFormat="false" ht="15" hidden="false" customHeight="false" outlineLevel="0" collapsed="false">
      <c r="A15" s="11" t="s">
        <v>55</v>
      </c>
      <c r="B15" s="11" t="s">
        <v>36</v>
      </c>
      <c r="C15" s="11" t="s">
        <v>56</v>
      </c>
      <c r="D15" s="11" t="s">
        <v>38</v>
      </c>
      <c r="E15" s="12" t="n">
        <v>250</v>
      </c>
      <c r="F15" s="12" t="n">
        <v>0</v>
      </c>
      <c r="G15" s="12" t="n">
        <v>2.5</v>
      </c>
      <c r="H15" s="12" t="n">
        <v>0</v>
      </c>
      <c r="I15" s="12" t="n">
        <v>1000</v>
      </c>
      <c r="J15" s="12" t="n">
        <v>10000</v>
      </c>
      <c r="K15" s="13" t="str">
        <f aca="false">IFERROR(INDEX('Vitesse (calcul)'!$P$21:$P$153,MATCH($A15&amp;"|"&amp;$B15,'Vitesse (calcul)'!$A$21:$A$153,0)),"N/A")</f>
        <v>N/A</v>
      </c>
      <c r="L15" s="15" t="str">
        <f aca="false">IFERROR(INDEX('Vitesse (calcul)'!$S$21:$S$153,MATCH($A15&amp;"|"&amp;$B15,'Vitesse (calcul)'!$A$21:$A$153,0)),"N/A")</f>
        <v>N/A</v>
      </c>
      <c r="M15" s="11" t="s">
        <v>57</v>
      </c>
      <c r="N15" s="11"/>
      <c r="O15" s="11"/>
      <c r="P15" s="16" t="n">
        <v>5</v>
      </c>
      <c r="Q15" s="17" t="n">
        <v>5</v>
      </c>
      <c r="R15" s="17" t="n">
        <v>4</v>
      </c>
      <c r="S15" s="17" t="n">
        <v>3</v>
      </c>
      <c r="T15" s="17" t="n">
        <v>0</v>
      </c>
      <c r="U15" s="17" t="n">
        <v>4</v>
      </c>
      <c r="V15" s="17" t="n">
        <v>3</v>
      </c>
      <c r="W15" s="17" t="n">
        <v>0</v>
      </c>
      <c r="X15" s="11"/>
      <c r="Y15" s="11"/>
      <c r="Z15" s="11"/>
      <c r="AA15" s="11"/>
      <c r="AB15" s="12" t="n">
        <v>0.001</v>
      </c>
      <c r="AC15" s="12" t="n">
        <v>0</v>
      </c>
      <c r="AD15" s="12" t="n">
        <v>5</v>
      </c>
      <c r="AE15" s="12" t="n">
        <v>4</v>
      </c>
    </row>
    <row r="16" customFormat="false" ht="15" hidden="false" customHeight="false" outlineLevel="0" collapsed="false">
      <c r="A16" s="11" t="s">
        <v>58</v>
      </c>
      <c r="B16" s="11" t="s">
        <v>36</v>
      </c>
      <c r="C16" s="11" t="s">
        <v>56</v>
      </c>
      <c r="D16" s="11" t="s">
        <v>38</v>
      </c>
      <c r="E16" s="12" t="n">
        <v>350</v>
      </c>
      <c r="F16" s="12" t="n">
        <v>200</v>
      </c>
      <c r="G16" s="12" t="n">
        <v>0.105</v>
      </c>
      <c r="H16" s="12" t="n">
        <v>1904.7619047619</v>
      </c>
      <c r="I16" s="12" t="n">
        <v>1000</v>
      </c>
      <c r="J16" s="12" t="n">
        <v>10000</v>
      </c>
      <c r="K16" s="13" t="str">
        <f aca="false">IFERROR(INDEX('Vitesse (calcul)'!$P$21:$P$153,MATCH($A16&amp;"|"&amp;$B16,'Vitesse (calcul)'!$A$21:$A$153,0)),"N/A")</f>
        <v>N/A</v>
      </c>
      <c r="L16" s="15" t="str">
        <f aca="false">IFERROR(INDEX('Vitesse (calcul)'!$S$21:$S$153,MATCH($A16&amp;"|"&amp;$B16,'Vitesse (calcul)'!$A$21:$A$153,0)),"N/A")</f>
        <v>N/A</v>
      </c>
      <c r="M16" s="11" t="s">
        <v>59</v>
      </c>
      <c r="N16" s="11"/>
      <c r="O16" s="11"/>
      <c r="P16" s="17" t="n">
        <v>5</v>
      </c>
      <c r="Q16" s="17" t="n">
        <v>3</v>
      </c>
      <c r="R16" s="17" t="n">
        <v>4</v>
      </c>
      <c r="S16" s="17" t="n">
        <v>3</v>
      </c>
      <c r="T16" s="17" t="n">
        <v>1</v>
      </c>
      <c r="U16" s="17" t="n">
        <v>4</v>
      </c>
      <c r="V16" s="17" t="n">
        <v>3</v>
      </c>
      <c r="W16" s="17" t="n">
        <v>1</v>
      </c>
      <c r="X16" s="11"/>
      <c r="Y16" s="11"/>
      <c r="Z16" s="11"/>
      <c r="AA16" s="11"/>
      <c r="AB16" s="12" t="n">
        <v>0.1</v>
      </c>
      <c r="AC16" s="12" t="n">
        <v>0</v>
      </c>
      <c r="AD16" s="12" t="n">
        <v>3</v>
      </c>
      <c r="AE16" s="12" t="n">
        <v>0</v>
      </c>
    </row>
    <row r="17" customFormat="false" ht="15" hidden="false" customHeight="false" outlineLevel="0" collapsed="false">
      <c r="A17" s="11" t="s">
        <v>60</v>
      </c>
      <c r="B17" s="11" t="s">
        <v>36</v>
      </c>
      <c r="C17" s="11" t="s">
        <v>56</v>
      </c>
      <c r="D17" s="11" t="s">
        <v>38</v>
      </c>
      <c r="E17" s="12" t="n">
        <v>0</v>
      </c>
      <c r="F17" s="12" t="n">
        <v>80</v>
      </c>
      <c r="G17" s="12" t="n">
        <v>0.06</v>
      </c>
      <c r="H17" s="12" t="n">
        <v>1333.33333333333</v>
      </c>
      <c r="I17" s="12" t="n">
        <v>1000</v>
      </c>
      <c r="J17" s="12" t="n">
        <v>10000</v>
      </c>
      <c r="K17" s="13" t="str">
        <f aca="false">IFERROR(INDEX('Vitesse (calcul)'!$P$21:$P$153,MATCH($A17&amp;"|"&amp;$B17,'Vitesse (calcul)'!$A$21:$A$153,0)),"N/A")</f>
        <v>N/A</v>
      </c>
      <c r="L17" s="15" t="str">
        <f aca="false">IFERROR(INDEX('Vitesse (calcul)'!$S$21:$S$153,MATCH($A17&amp;"|"&amp;$B17,'Vitesse (calcul)'!$A$21:$A$153,0)),"N/A")</f>
        <v>N/A</v>
      </c>
      <c r="M17" s="11" t="s">
        <v>59</v>
      </c>
      <c r="N17" s="11"/>
      <c r="O17" s="11"/>
      <c r="P17" s="17" t="n">
        <v>5</v>
      </c>
      <c r="Q17" s="17" t="n">
        <v>0</v>
      </c>
      <c r="R17" s="17" t="n">
        <v>4</v>
      </c>
      <c r="S17" s="17" t="n">
        <v>3</v>
      </c>
      <c r="T17" s="17" t="n">
        <v>0</v>
      </c>
      <c r="U17" s="17" t="n">
        <v>4</v>
      </c>
      <c r="V17" s="17" t="n">
        <v>2</v>
      </c>
      <c r="W17" s="17" t="n">
        <v>0</v>
      </c>
      <c r="X17" s="11"/>
      <c r="Y17" s="11"/>
      <c r="Z17" s="11"/>
      <c r="AA17" s="11"/>
      <c r="AB17" s="12" t="n">
        <v>0.001</v>
      </c>
      <c r="AC17" s="12" t="n">
        <v>0</v>
      </c>
      <c r="AD17" s="12" t="n">
        <v>0</v>
      </c>
      <c r="AE17" s="12" t="n">
        <v>0</v>
      </c>
    </row>
    <row r="18" customFormat="false" ht="15" hidden="false" customHeight="false" outlineLevel="0" collapsed="false">
      <c r="A18" s="11" t="s">
        <v>61</v>
      </c>
      <c r="B18" s="11" t="s">
        <v>36</v>
      </c>
      <c r="C18" s="11" t="s">
        <v>62</v>
      </c>
      <c r="D18" s="11"/>
      <c r="E18" s="11"/>
      <c r="F18" s="11"/>
      <c r="G18" s="12" t="n">
        <v>0</v>
      </c>
      <c r="H18" s="11"/>
      <c r="I18" s="11"/>
      <c r="J18" s="12" t="n">
        <v>50000</v>
      </c>
      <c r="K18" s="13" t="str">
        <f aca="false">IFERROR(INDEX('Vitesse (calcul)'!$P$21:$P$153,MATCH($A18&amp;"|"&amp;$B18,'Vitesse (calcul)'!$A$21:$A$153,0)),"N/A")</f>
        <v>N/A</v>
      </c>
      <c r="L18" s="15" t="str">
        <f aca="false">IFERROR(INDEX('Vitesse (calcul)'!$S$21:$S$153,MATCH($A18&amp;"|"&amp;$B18,'Vitesse (calcul)'!$A$21:$A$153,0)),"N/A")</f>
        <v>N/A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customFormat="false" ht="15" hidden="false" customHeight="false" outlineLevel="0" collapsed="false">
      <c r="A19" s="11" t="s">
        <v>63</v>
      </c>
      <c r="B19" s="11" t="s">
        <v>36</v>
      </c>
      <c r="C19" s="11" t="s">
        <v>64</v>
      </c>
      <c r="D19" s="11"/>
      <c r="E19" s="12" t="n">
        <v>160</v>
      </c>
      <c r="F19" s="12" t="n">
        <v>0</v>
      </c>
      <c r="G19" s="12" t="n">
        <v>3E-006</v>
      </c>
      <c r="H19" s="12" t="n">
        <v>0</v>
      </c>
      <c r="I19" s="11"/>
      <c r="J19" s="12" t="n">
        <v>1800</v>
      </c>
      <c r="K19" s="13" t="n">
        <f aca="false">IFERROR(INDEX('Vitesse (calcul)'!$P$21:$P$153,MATCH($A19&amp;"|"&amp;$B19,'Vitesse (calcul)'!$A$21:$A$153,0)),"N/A")</f>
        <v>850</v>
      </c>
      <c r="L19" s="15" t="n">
        <f aca="false">IFERROR(INDEX('Vitesse (calcul)'!$S$21:$S$153,MATCH($A19&amp;"|"&amp;$B19,'Vitesse (calcul)'!$A$21:$A$153,0)),"N/A")</f>
        <v>4.5</v>
      </c>
      <c r="M19" s="11"/>
      <c r="N19" s="11"/>
      <c r="O19" s="11"/>
      <c r="P19" s="17" t="n">
        <v>1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1"/>
      <c r="AB19" s="11"/>
      <c r="AC19" s="11"/>
      <c r="AD19" s="11"/>
      <c r="AE19" s="11"/>
    </row>
    <row r="20" customFormat="false" ht="15" hidden="false" customHeight="false" outlineLevel="0" collapsed="false">
      <c r="A20" s="11" t="s">
        <v>65</v>
      </c>
      <c r="B20" s="11" t="s">
        <v>36</v>
      </c>
      <c r="C20" s="11" t="s">
        <v>64</v>
      </c>
      <c r="D20" s="11"/>
      <c r="E20" s="12" t="n">
        <v>160</v>
      </c>
      <c r="F20" s="12" t="n">
        <v>0</v>
      </c>
      <c r="G20" s="12" t="n">
        <v>3E-006</v>
      </c>
      <c r="H20" s="12" t="n">
        <v>0</v>
      </c>
      <c r="I20" s="11"/>
      <c r="J20" s="12" t="n">
        <v>2500</v>
      </c>
      <c r="K20" s="13" t="n">
        <f aca="false">IFERROR(INDEX('Vitesse (calcul)'!$P$21:$P$153,MATCH($A20&amp;"|"&amp;$B20,'Vitesse (calcul)'!$A$21:$A$153,0)),"N/A")</f>
        <v>850</v>
      </c>
      <c r="L20" s="15" t="n">
        <f aca="false">IFERROR(INDEX('Vitesse (calcul)'!$S$21:$S$153,MATCH($A20&amp;"|"&amp;$B20,'Vitesse (calcul)'!$A$21:$A$153,0)),"N/A")</f>
        <v>4.5</v>
      </c>
      <c r="M20" s="11"/>
      <c r="N20" s="11"/>
      <c r="O20" s="11"/>
      <c r="P20" s="17" t="n">
        <v>1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1"/>
      <c r="AB20" s="11"/>
      <c r="AC20" s="11"/>
      <c r="AD20" s="11"/>
      <c r="AE20" s="11"/>
    </row>
    <row r="21" customFormat="false" ht="15" hidden="false" customHeight="false" outlineLevel="0" collapsed="false">
      <c r="A21" s="11" t="s">
        <v>66</v>
      </c>
      <c r="B21" s="11" t="s">
        <v>36</v>
      </c>
      <c r="C21" s="11" t="s">
        <v>64</v>
      </c>
      <c r="D21" s="11"/>
      <c r="E21" s="12" t="n">
        <v>700</v>
      </c>
      <c r="F21" s="12" t="n">
        <v>0.7</v>
      </c>
      <c r="G21" s="12" t="n">
        <v>0.08</v>
      </c>
      <c r="H21" s="12" t="n">
        <v>8.75</v>
      </c>
      <c r="I21" s="11"/>
      <c r="J21" s="12" t="n">
        <v>40000</v>
      </c>
      <c r="K21" s="13" t="n">
        <f aca="false">IFERROR(INDEX('Vitesse (calcul)'!$P$21:$P$153,MATCH($A21&amp;"|"&amp;$B21,'Vitesse (calcul)'!$A$21:$A$153,0)),"N/A")</f>
        <v>850</v>
      </c>
      <c r="L21" s="15" t="n">
        <f aca="false">IFERROR(INDEX('Vitesse (calcul)'!$S$21:$S$153,MATCH($A21&amp;"|"&amp;$B21,'Vitesse (calcul)'!$A$21:$A$153,0)),"N/A")</f>
        <v>4.5</v>
      </c>
      <c r="M21" s="11"/>
      <c r="N21" s="11"/>
      <c r="O21" s="11"/>
      <c r="P21" s="17" t="n">
        <v>4</v>
      </c>
      <c r="Q21" s="17" t="n">
        <v>2</v>
      </c>
      <c r="R21" s="17" t="n">
        <v>1</v>
      </c>
      <c r="S21" s="17" t="n">
        <v>0</v>
      </c>
      <c r="T21" s="17" t="n">
        <v>0</v>
      </c>
      <c r="U21" s="17" t="n">
        <v>1</v>
      </c>
      <c r="V21" s="17" t="n">
        <v>0</v>
      </c>
      <c r="W21" s="17" t="n">
        <v>0</v>
      </c>
      <c r="X21" s="11"/>
      <c r="Y21" s="11"/>
      <c r="Z21" s="11"/>
      <c r="AA21" s="11"/>
      <c r="AB21" s="11"/>
      <c r="AC21" s="11"/>
      <c r="AD21" s="11"/>
      <c r="AE21" s="11"/>
    </row>
    <row r="22" customFormat="false" ht="15" hidden="false" customHeight="false" outlineLevel="0" collapsed="false">
      <c r="A22" s="11" t="s">
        <v>67</v>
      </c>
      <c r="B22" s="11" t="s">
        <v>36</v>
      </c>
      <c r="C22" s="11" t="s">
        <v>64</v>
      </c>
      <c r="D22" s="11"/>
      <c r="E22" s="12" t="n">
        <v>2500</v>
      </c>
      <c r="F22" s="12" t="n">
        <v>5</v>
      </c>
      <c r="G22" s="12" t="n">
        <v>0.003</v>
      </c>
      <c r="H22" s="12" t="n">
        <v>1666.66666666667</v>
      </c>
      <c r="I22" s="11"/>
      <c r="J22" s="12" t="n">
        <v>4500</v>
      </c>
      <c r="K22" s="13" t="n">
        <f aca="false">IFERROR(INDEX('Vitesse (calcul)'!$P$21:$P$153,MATCH($A22&amp;"|"&amp;$B22,'Vitesse (calcul)'!$A$21:$A$153,0)),"N/A")</f>
        <v>1700</v>
      </c>
      <c r="L22" s="15" t="n">
        <f aca="false">IFERROR(INDEX('Vitesse (calcul)'!$S$21:$S$153,MATCH($A22&amp;"|"&amp;$B22,'Vitesse (calcul)'!$A$21:$A$153,0)),"N/A")</f>
        <v>8.8</v>
      </c>
      <c r="M22" s="11"/>
      <c r="N22" s="11"/>
      <c r="O22" s="11"/>
      <c r="P22" s="17" t="n">
        <v>5</v>
      </c>
      <c r="Q22" s="17" t="n">
        <v>5</v>
      </c>
      <c r="R22" s="17" t="n">
        <v>3</v>
      </c>
      <c r="S22" s="17" t="n">
        <v>2</v>
      </c>
      <c r="T22" s="17" t="n">
        <v>3</v>
      </c>
      <c r="U22" s="17" t="n">
        <v>2</v>
      </c>
      <c r="V22" s="17" t="n">
        <v>1</v>
      </c>
      <c r="W22" s="17" t="n">
        <v>0</v>
      </c>
      <c r="X22" s="11"/>
      <c r="Y22" s="11"/>
      <c r="Z22" s="11"/>
      <c r="AA22" s="11"/>
      <c r="AB22" s="11"/>
      <c r="AC22" s="11"/>
      <c r="AD22" s="11"/>
      <c r="AE22" s="11"/>
    </row>
    <row r="23" customFormat="false" ht="15" hidden="false" customHeight="false" outlineLevel="0" collapsed="false">
      <c r="A23" s="11" t="s">
        <v>68</v>
      </c>
      <c r="B23" s="11" t="s">
        <v>36</v>
      </c>
      <c r="C23" s="11" t="s">
        <v>64</v>
      </c>
      <c r="D23" s="11"/>
      <c r="E23" s="12" t="n">
        <v>700</v>
      </c>
      <c r="F23" s="12" t="n">
        <v>15</v>
      </c>
      <c r="G23" s="12" t="n">
        <v>0.08</v>
      </c>
      <c r="H23" s="12" t="n">
        <v>187.5</v>
      </c>
      <c r="I23" s="11"/>
      <c r="J23" s="12" t="n">
        <v>40000</v>
      </c>
      <c r="K23" s="13" t="n">
        <f aca="false">IFERROR(INDEX('Vitesse (calcul)'!$P$21:$P$153,MATCH($A23&amp;"|"&amp;$B23,'Vitesse (calcul)'!$A$21:$A$153,0)),"N/A")</f>
        <v>850</v>
      </c>
      <c r="L23" s="15" t="n">
        <f aca="false">IFERROR(INDEX('Vitesse (calcul)'!$S$21:$S$153,MATCH($A23&amp;"|"&amp;$B23,'Vitesse (calcul)'!$A$21:$A$153,0)),"N/A")</f>
        <v>4.5</v>
      </c>
      <c r="M23" s="11"/>
      <c r="N23" s="11"/>
      <c r="O23" s="11"/>
      <c r="P23" s="17" t="n">
        <v>5</v>
      </c>
      <c r="Q23" s="17" t="n">
        <v>2</v>
      </c>
      <c r="R23" s="17" t="n">
        <v>3</v>
      </c>
      <c r="S23" s="17" t="n">
        <v>2</v>
      </c>
      <c r="T23" s="17" t="n">
        <v>0</v>
      </c>
      <c r="U23" s="17" t="n">
        <v>3</v>
      </c>
      <c r="V23" s="17" t="n">
        <v>1</v>
      </c>
      <c r="W23" s="17" t="n">
        <v>0</v>
      </c>
      <c r="X23" s="11"/>
      <c r="Y23" s="11"/>
      <c r="Z23" s="11"/>
      <c r="AA23" s="11"/>
      <c r="AB23" s="11"/>
      <c r="AC23" s="11"/>
      <c r="AD23" s="11"/>
      <c r="AE23" s="11"/>
    </row>
    <row r="24" customFormat="false" ht="15" hidden="false" customHeight="false" outlineLevel="0" collapsed="false">
      <c r="A24" s="11" t="s">
        <v>69</v>
      </c>
      <c r="B24" s="11" t="s">
        <v>36</v>
      </c>
      <c r="C24" s="11" t="s">
        <v>64</v>
      </c>
      <c r="D24" s="11"/>
      <c r="E24" s="12" t="n">
        <v>3000</v>
      </c>
      <c r="F24" s="12" t="n">
        <v>20</v>
      </c>
      <c r="G24" s="12" t="n">
        <v>0.03</v>
      </c>
      <c r="H24" s="12" t="n">
        <v>666.666666666667</v>
      </c>
      <c r="I24" s="12" t="n">
        <v>300</v>
      </c>
      <c r="J24" s="12" t="n">
        <v>50000</v>
      </c>
      <c r="K24" s="13" t="n">
        <f aca="false">IFERROR(INDEX('Vitesse (calcul)'!$P$21:$P$153,MATCH($A24&amp;"|"&amp;$B24,'Vitesse (calcul)'!$A$21:$A$153,0)),"N/A")</f>
        <v>2380</v>
      </c>
      <c r="L24" s="15" t="n">
        <f aca="false">IFERROR(INDEX('Vitesse (calcul)'!$S$21:$S$153,MATCH($A24&amp;"|"&amp;$B24,'Vitesse (calcul)'!$A$21:$A$153,0)),"N/A")</f>
        <v>9.7</v>
      </c>
      <c r="M24" s="11"/>
      <c r="N24" s="11"/>
      <c r="O24" s="11"/>
      <c r="P24" s="17" t="n">
        <v>5</v>
      </c>
      <c r="Q24" s="17" t="n">
        <v>5</v>
      </c>
      <c r="R24" s="17" t="n">
        <v>3</v>
      </c>
      <c r="S24" s="17" t="n">
        <v>2</v>
      </c>
      <c r="T24" s="17" t="n">
        <v>3</v>
      </c>
      <c r="U24" s="17" t="n">
        <v>3</v>
      </c>
      <c r="V24" s="17" t="n">
        <v>2</v>
      </c>
      <c r="W24" s="17" t="n">
        <v>0</v>
      </c>
      <c r="X24" s="11"/>
      <c r="Y24" s="11"/>
      <c r="Z24" s="11"/>
      <c r="AA24" s="11"/>
      <c r="AB24" s="11"/>
      <c r="AC24" s="11"/>
      <c r="AD24" s="11"/>
      <c r="AE24" s="11"/>
    </row>
    <row r="25" customFormat="false" ht="15" hidden="false" customHeight="false" outlineLevel="0" collapsed="false">
      <c r="A25" s="11" t="s">
        <v>70</v>
      </c>
      <c r="B25" s="11" t="s">
        <v>36</v>
      </c>
      <c r="C25" s="11" t="s">
        <v>64</v>
      </c>
      <c r="D25" s="11"/>
      <c r="E25" s="12" t="n">
        <v>400</v>
      </c>
      <c r="F25" s="12" t="n">
        <v>0.01</v>
      </c>
      <c r="G25" s="12" t="n">
        <v>3E-005</v>
      </c>
      <c r="H25" s="12" t="n">
        <v>333.333333333333</v>
      </c>
      <c r="I25" s="11"/>
      <c r="J25" s="12" t="n">
        <v>2000</v>
      </c>
      <c r="K25" s="13" t="n">
        <f aca="false">IFERROR(INDEX('Vitesse (calcul)'!$P$21:$P$153,MATCH($A25&amp;"|"&amp;$B25,'Vitesse (calcul)'!$A$21:$A$153,0)),"N/A")</f>
        <v>1100</v>
      </c>
      <c r="L25" s="15" t="n">
        <f aca="false">IFERROR(INDEX('Vitesse (calcul)'!$S$21:$S$153,MATCH($A25&amp;"|"&amp;$B25,'Vitesse (calcul)'!$A$21:$A$153,0)),"N/A")</f>
        <v>7.1</v>
      </c>
      <c r="M25" s="11"/>
      <c r="N25" s="11"/>
      <c r="O25" s="11"/>
      <c r="P25" s="17" t="n">
        <v>3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1</v>
      </c>
      <c r="Y25" s="17" t="n">
        <v>0</v>
      </c>
      <c r="Z25" s="17" t="n">
        <v>0</v>
      </c>
      <c r="AA25" s="11"/>
      <c r="AB25" s="11"/>
      <c r="AC25" s="11"/>
      <c r="AD25" s="11"/>
      <c r="AE25" s="11"/>
    </row>
    <row r="26" customFormat="false" ht="15" hidden="false" customHeight="false" outlineLevel="0" collapsed="false">
      <c r="A26" s="11" t="s">
        <v>71</v>
      </c>
      <c r="B26" s="11" t="s">
        <v>36</v>
      </c>
      <c r="C26" s="11" t="s">
        <v>64</v>
      </c>
      <c r="D26" s="11"/>
      <c r="E26" s="12" t="n">
        <v>400</v>
      </c>
      <c r="F26" s="12" t="n">
        <v>0.01</v>
      </c>
      <c r="G26" s="12" t="n">
        <v>0.0002</v>
      </c>
      <c r="H26" s="12" t="n">
        <v>50</v>
      </c>
      <c r="I26" s="11"/>
      <c r="J26" s="12" t="n">
        <v>3000</v>
      </c>
      <c r="K26" s="13" t="n">
        <f aca="false">IFERROR(INDEX('Vitesse (calcul)'!$P$21:$P$153,MATCH($A26&amp;"|"&amp;$B26,'Vitesse (calcul)'!$A$21:$A$153,0)),"N/A")</f>
        <v>1100</v>
      </c>
      <c r="L26" s="15" t="n">
        <f aca="false">IFERROR(INDEX('Vitesse (calcul)'!$S$21:$S$153,MATCH($A26&amp;"|"&amp;$B26,'Vitesse (calcul)'!$A$21:$A$153,0)),"N/A")</f>
        <v>7.1</v>
      </c>
      <c r="M26" s="11"/>
      <c r="N26" s="11"/>
      <c r="O26" s="11"/>
      <c r="P26" s="17" t="n">
        <v>3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1</v>
      </c>
      <c r="Y26" s="17" t="n">
        <v>0</v>
      </c>
      <c r="Z26" s="17" t="n">
        <v>0</v>
      </c>
      <c r="AA26" s="11"/>
      <c r="AB26" s="11"/>
      <c r="AC26" s="11"/>
      <c r="AD26" s="11"/>
      <c r="AE26" s="11"/>
    </row>
    <row r="27" customFormat="false" ht="15" hidden="false" customHeight="false" outlineLevel="0" collapsed="false">
      <c r="A27" s="11" t="s">
        <v>72</v>
      </c>
      <c r="B27" s="11" t="s">
        <v>36</v>
      </c>
      <c r="C27" s="11" t="s">
        <v>64</v>
      </c>
      <c r="D27" s="11"/>
      <c r="E27" s="12" t="n">
        <v>400</v>
      </c>
      <c r="F27" s="12" t="n">
        <v>0.01</v>
      </c>
      <c r="G27" s="12" t="n">
        <v>3E-005</v>
      </c>
      <c r="H27" s="12" t="n">
        <v>333.333333333333</v>
      </c>
      <c r="I27" s="11"/>
      <c r="J27" s="12" t="n">
        <v>1800</v>
      </c>
      <c r="K27" s="13" t="n">
        <f aca="false">IFERROR(INDEX('Vitesse (calcul)'!$P$21:$P$153,MATCH($A27&amp;"|"&amp;$B27,'Vitesse (calcul)'!$A$21:$A$153,0)),"N/A")</f>
        <v>1100</v>
      </c>
      <c r="L27" s="15" t="n">
        <f aca="false">IFERROR(INDEX('Vitesse (calcul)'!$S$21:$S$153,MATCH($A27&amp;"|"&amp;$B27,'Vitesse (calcul)'!$A$21:$A$153,0)),"N/A")</f>
        <v>7.1</v>
      </c>
      <c r="M27" s="11"/>
      <c r="N27" s="11"/>
      <c r="O27" s="11"/>
      <c r="P27" s="17" t="n">
        <v>3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1</v>
      </c>
      <c r="Y27" s="17" t="n">
        <v>0</v>
      </c>
      <c r="Z27" s="17" t="n">
        <v>0</v>
      </c>
      <c r="AA27" s="11"/>
      <c r="AB27" s="11"/>
      <c r="AC27" s="11"/>
      <c r="AD27" s="11"/>
      <c r="AE27" s="11"/>
    </row>
    <row r="28" customFormat="false" ht="15" hidden="false" customHeight="false" outlineLevel="0" collapsed="false">
      <c r="A28" s="11" t="s">
        <v>73</v>
      </c>
      <c r="B28" s="11" t="s">
        <v>36</v>
      </c>
      <c r="C28" s="11" t="s">
        <v>64</v>
      </c>
      <c r="D28" s="11"/>
      <c r="E28" s="12" t="n">
        <v>400</v>
      </c>
      <c r="F28" s="12" t="n">
        <v>0.01</v>
      </c>
      <c r="G28" s="12" t="n">
        <v>3E-005</v>
      </c>
      <c r="H28" s="12" t="n">
        <v>333.333333333333</v>
      </c>
      <c r="I28" s="11"/>
      <c r="J28" s="12" t="n">
        <v>1600</v>
      </c>
      <c r="K28" s="13" t="n">
        <f aca="false">IFERROR(INDEX('Vitesse (calcul)'!$P$21:$P$153,MATCH($A28&amp;"|"&amp;$B28,'Vitesse (calcul)'!$A$21:$A$153,0)),"N/A")</f>
        <v>1040</v>
      </c>
      <c r="L28" s="15" t="n">
        <f aca="false">IFERROR(INDEX('Vitesse (calcul)'!$S$21:$S$153,MATCH($A28&amp;"|"&amp;$B28,'Vitesse (calcul)'!$A$21:$A$153,0)),"N/A")</f>
        <v>5.6</v>
      </c>
      <c r="M28" s="11"/>
      <c r="N28" s="11"/>
      <c r="O28" s="11"/>
      <c r="P28" s="17" t="n">
        <v>3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1</v>
      </c>
      <c r="Y28" s="17" t="n">
        <v>0</v>
      </c>
      <c r="Z28" s="17" t="n">
        <v>0</v>
      </c>
      <c r="AA28" s="11"/>
      <c r="AB28" s="11"/>
      <c r="AC28" s="11"/>
      <c r="AD28" s="11"/>
      <c r="AE28" s="11"/>
    </row>
    <row r="29" customFormat="false" ht="15" hidden="false" customHeight="false" outlineLevel="0" collapsed="false">
      <c r="A29" s="11" t="s">
        <v>74</v>
      </c>
      <c r="B29" s="11" t="s">
        <v>36</v>
      </c>
      <c r="C29" s="11" t="s">
        <v>64</v>
      </c>
      <c r="D29" s="11"/>
      <c r="E29" s="12" t="n">
        <v>420</v>
      </c>
      <c r="F29" s="12" t="n">
        <v>0.04</v>
      </c>
      <c r="G29" s="12" t="n">
        <v>6E-005</v>
      </c>
      <c r="H29" s="12" t="n">
        <v>666.666666666667</v>
      </c>
      <c r="I29" s="11"/>
      <c r="J29" s="12" t="n">
        <v>3000</v>
      </c>
      <c r="K29" s="13" t="n">
        <f aca="false">IFERROR(INDEX('Vitesse (calcul)'!$P$21:$P$153,MATCH($A29&amp;"|"&amp;$B29,'Vitesse (calcul)'!$A$21:$A$153,0)),"N/A")</f>
        <v>980</v>
      </c>
      <c r="L29" s="15" t="n">
        <f aca="false">IFERROR(INDEX('Vitesse (calcul)'!$S$21:$S$153,MATCH($A29&amp;"|"&amp;$B29,'Vitesse (calcul)'!$A$21:$A$153,0)),"N/A")</f>
        <v>5.2</v>
      </c>
      <c r="M29" s="11"/>
      <c r="N29" s="11"/>
      <c r="O29" s="11"/>
      <c r="P29" s="17" t="n">
        <v>3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1</v>
      </c>
      <c r="Y29" s="17" t="n">
        <v>1</v>
      </c>
      <c r="Z29" s="17" t="n">
        <v>0</v>
      </c>
      <c r="AA29" s="11"/>
      <c r="AB29" s="11"/>
      <c r="AC29" s="11"/>
      <c r="AD29" s="11"/>
      <c r="AE29" s="11"/>
    </row>
    <row r="30" customFormat="false" ht="15" hidden="false" customHeight="false" outlineLevel="0" collapsed="false">
      <c r="A30" s="11" t="s">
        <v>75</v>
      </c>
      <c r="B30" s="11" t="s">
        <v>36</v>
      </c>
      <c r="C30" s="11" t="s">
        <v>64</v>
      </c>
      <c r="D30" s="11"/>
      <c r="E30" s="12" t="n">
        <v>420</v>
      </c>
      <c r="F30" s="12" t="n">
        <v>0.04</v>
      </c>
      <c r="G30" s="12" t="n">
        <v>6E-005</v>
      </c>
      <c r="H30" s="12" t="n">
        <v>666.666666666667</v>
      </c>
      <c r="I30" s="11"/>
      <c r="J30" s="12" t="n">
        <v>2200</v>
      </c>
      <c r="K30" s="13" t="n">
        <f aca="false">IFERROR(INDEX('Vitesse (calcul)'!$P$21:$P$153,MATCH($A30&amp;"|"&amp;$B30,'Vitesse (calcul)'!$A$21:$A$153,0)),"N/A")</f>
        <v>1100</v>
      </c>
      <c r="L30" s="15" t="n">
        <f aca="false">IFERROR(INDEX('Vitesse (calcul)'!$S$21:$S$153,MATCH($A30&amp;"|"&amp;$B30,'Vitesse (calcul)'!$A$21:$A$153,0)),"N/A")</f>
        <v>7.1</v>
      </c>
      <c r="M30" s="11"/>
      <c r="N30" s="11"/>
      <c r="O30" s="11"/>
      <c r="P30" s="17" t="n">
        <v>3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1</v>
      </c>
      <c r="Y30" s="17" t="n">
        <v>1</v>
      </c>
      <c r="Z30" s="17" t="n">
        <v>0</v>
      </c>
      <c r="AA30" s="11"/>
      <c r="AB30" s="11"/>
      <c r="AC30" s="11"/>
      <c r="AD30" s="11"/>
      <c r="AE30" s="11"/>
    </row>
    <row r="31" customFormat="false" ht="15" hidden="false" customHeight="false" outlineLevel="0" collapsed="false">
      <c r="A31" s="11" t="s">
        <v>76</v>
      </c>
      <c r="B31" s="11" t="s">
        <v>36</v>
      </c>
      <c r="C31" s="11" t="s">
        <v>64</v>
      </c>
      <c r="D31" s="11"/>
      <c r="E31" s="12" t="n">
        <v>500</v>
      </c>
      <c r="F31" s="12" t="n">
        <v>0.04</v>
      </c>
      <c r="G31" s="12" t="n">
        <v>4E-005</v>
      </c>
      <c r="H31" s="12" t="n">
        <v>1000</v>
      </c>
      <c r="I31" s="11"/>
      <c r="J31" s="12" t="n">
        <v>1800</v>
      </c>
      <c r="K31" s="13" t="n">
        <f aca="false">IFERROR(INDEX('Vitesse (calcul)'!$P$21:$P$153,MATCH($A31&amp;"|"&amp;$B31,'Vitesse (calcul)'!$A$21:$A$153,0)),"N/A")</f>
        <v>1100</v>
      </c>
      <c r="L31" s="15" t="n">
        <f aca="false">IFERROR(INDEX('Vitesse (calcul)'!$S$21:$S$153,MATCH($A31&amp;"|"&amp;$B31,'Vitesse (calcul)'!$A$21:$A$153,0)),"N/A")</f>
        <v>7.1</v>
      </c>
      <c r="M31" s="11"/>
      <c r="N31" s="11"/>
      <c r="O31" s="11"/>
      <c r="P31" s="17" t="n">
        <v>4</v>
      </c>
      <c r="Q31" s="17" t="n">
        <v>1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1</v>
      </c>
      <c r="Y31" s="17" t="n">
        <v>1</v>
      </c>
      <c r="Z31" s="17" t="n">
        <v>0</v>
      </c>
      <c r="AA31" s="11"/>
      <c r="AB31" s="11"/>
      <c r="AC31" s="11"/>
      <c r="AD31" s="11"/>
      <c r="AE31" s="11"/>
    </row>
    <row r="32" customFormat="false" ht="15" hidden="false" customHeight="false" outlineLevel="0" collapsed="false">
      <c r="A32" s="11" t="s">
        <v>77</v>
      </c>
      <c r="B32" s="11" t="s">
        <v>36</v>
      </c>
      <c r="C32" s="11" t="s">
        <v>64</v>
      </c>
      <c r="D32" s="11"/>
      <c r="E32" s="12" t="n">
        <v>500</v>
      </c>
      <c r="F32" s="12" t="n">
        <v>0.05</v>
      </c>
      <c r="G32" s="12" t="n">
        <v>5E-005</v>
      </c>
      <c r="H32" s="12" t="n">
        <v>1000</v>
      </c>
      <c r="I32" s="11"/>
      <c r="J32" s="12" t="n">
        <v>2000</v>
      </c>
      <c r="K32" s="13" t="n">
        <f aca="false">IFERROR(INDEX('Vitesse (calcul)'!$P$21:$P$153,MATCH($A32&amp;"|"&amp;$B32,'Vitesse (calcul)'!$A$21:$A$153,0)),"N/A")</f>
        <v>1100</v>
      </c>
      <c r="L32" s="15" t="n">
        <f aca="false">IFERROR(INDEX('Vitesse (calcul)'!$S$21:$S$153,MATCH($A32&amp;"|"&amp;$B32,'Vitesse (calcul)'!$A$21:$A$153,0)),"N/A")</f>
        <v>7.1</v>
      </c>
      <c r="M32" s="11"/>
      <c r="N32" s="11"/>
      <c r="O32" s="11"/>
      <c r="P32" s="17" t="n">
        <v>4</v>
      </c>
      <c r="Q32" s="17" t="n">
        <v>1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1</v>
      </c>
      <c r="Y32" s="17" t="n">
        <v>1</v>
      </c>
      <c r="Z32" s="17" t="n">
        <v>0</v>
      </c>
      <c r="AA32" s="11"/>
      <c r="AB32" s="11"/>
      <c r="AC32" s="11"/>
      <c r="AD32" s="11"/>
      <c r="AE32" s="11"/>
    </row>
    <row r="33" customFormat="false" ht="15" hidden="false" customHeight="false" outlineLevel="0" collapsed="false">
      <c r="A33" s="11" t="s">
        <v>78</v>
      </c>
      <c r="B33" s="11" t="s">
        <v>36</v>
      </c>
      <c r="C33" s="11" t="s">
        <v>64</v>
      </c>
      <c r="D33" s="11"/>
      <c r="E33" s="12" t="n">
        <v>400</v>
      </c>
      <c r="F33" s="12" t="n">
        <v>0.1</v>
      </c>
      <c r="G33" s="12" t="n">
        <v>0.0003</v>
      </c>
      <c r="H33" s="12" t="n">
        <v>333.333333333333</v>
      </c>
      <c r="I33" s="11"/>
      <c r="J33" s="12" t="n">
        <v>4000</v>
      </c>
      <c r="K33" s="13" t="n">
        <f aca="false">IFERROR(INDEX('Vitesse (calcul)'!$P$21:$P$153,MATCH($A33&amp;"|"&amp;$B33,'Vitesse (calcul)'!$A$21:$A$153,0)),"N/A")</f>
        <v>1200</v>
      </c>
      <c r="L33" s="15" t="n">
        <f aca="false">IFERROR(INDEX('Vitesse (calcul)'!$S$21:$S$153,MATCH($A33&amp;"|"&amp;$B33,'Vitesse (calcul)'!$A$21:$A$153,0)),"N/A")</f>
        <v>7.9</v>
      </c>
      <c r="M33" s="11"/>
      <c r="N33" s="11"/>
      <c r="O33" s="11"/>
      <c r="P33" s="17" t="n">
        <v>3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1</v>
      </c>
      <c r="Y33" s="17" t="n">
        <v>0</v>
      </c>
      <c r="Z33" s="17" t="n">
        <v>0</v>
      </c>
      <c r="AA33" s="11"/>
      <c r="AB33" s="11"/>
      <c r="AC33" s="11"/>
      <c r="AD33" s="11"/>
      <c r="AE33" s="11"/>
    </row>
    <row r="34" customFormat="false" ht="15" hidden="false" customHeight="false" outlineLevel="0" collapsed="false">
      <c r="A34" s="11" t="s">
        <v>79</v>
      </c>
      <c r="B34" s="11" t="s">
        <v>36</v>
      </c>
      <c r="C34" s="11" t="s">
        <v>64</v>
      </c>
      <c r="D34" s="11"/>
      <c r="E34" s="12" t="n">
        <v>650</v>
      </c>
      <c r="F34" s="12" t="n">
        <v>0.1</v>
      </c>
      <c r="G34" s="12" t="n">
        <v>6E-005</v>
      </c>
      <c r="H34" s="12" t="n">
        <v>1666.66666666667</v>
      </c>
      <c r="I34" s="11"/>
      <c r="J34" s="12" t="n">
        <v>2000</v>
      </c>
      <c r="K34" s="13" t="n">
        <f aca="false">IFERROR(INDEX('Vitesse (calcul)'!$P$21:$P$153,MATCH($A34&amp;"|"&amp;$B34,'Vitesse (calcul)'!$A$21:$A$153,0)),"N/A")</f>
        <v>805</v>
      </c>
      <c r="L34" s="15" t="n">
        <f aca="false">IFERROR(INDEX('Vitesse (calcul)'!$S$21:$S$153,MATCH($A34&amp;"|"&amp;$B34,'Vitesse (calcul)'!$A$21:$A$153,0)),"N/A")</f>
        <v>3.7</v>
      </c>
      <c r="M34" s="11"/>
      <c r="N34" s="11"/>
      <c r="O34" s="11"/>
      <c r="P34" s="17" t="n">
        <v>4</v>
      </c>
      <c r="Q34" s="17" t="n">
        <v>2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1</v>
      </c>
      <c r="Y34" s="11"/>
      <c r="Z34" s="11"/>
      <c r="AA34" s="11"/>
      <c r="AB34" s="11"/>
      <c r="AC34" s="11"/>
      <c r="AD34" s="11"/>
      <c r="AE34" s="11"/>
    </row>
    <row r="35" customFormat="false" ht="15" hidden="false" customHeight="false" outlineLevel="0" collapsed="false">
      <c r="A35" s="11" t="s">
        <v>80</v>
      </c>
      <c r="B35" s="11" t="s">
        <v>36</v>
      </c>
      <c r="C35" s="11" t="s">
        <v>64</v>
      </c>
      <c r="D35" s="11"/>
      <c r="E35" s="12" t="n">
        <v>650</v>
      </c>
      <c r="F35" s="12" t="n">
        <v>0.03</v>
      </c>
      <c r="G35" s="12" t="n">
        <v>6E-005</v>
      </c>
      <c r="H35" s="12" t="n">
        <v>500</v>
      </c>
      <c r="I35" s="11"/>
      <c r="J35" s="12" t="n">
        <v>3000</v>
      </c>
      <c r="K35" s="13" t="n">
        <f aca="false">IFERROR(INDEX('Vitesse (calcul)'!$P$21:$P$153,MATCH($A35&amp;"|"&amp;$B35,'Vitesse (calcul)'!$A$21:$A$153,0)),"N/A")</f>
        <v>1100</v>
      </c>
      <c r="L35" s="15" t="n">
        <f aca="false">IFERROR(INDEX('Vitesse (calcul)'!$S$21:$S$153,MATCH($A35&amp;"|"&amp;$B35,'Vitesse (calcul)'!$A$21:$A$153,0)),"N/A")</f>
        <v>7.1</v>
      </c>
      <c r="M35" s="11"/>
      <c r="N35" s="11"/>
      <c r="O35" s="11"/>
      <c r="P35" s="17" t="n">
        <v>4</v>
      </c>
      <c r="Q35" s="17" t="n">
        <v>2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1</v>
      </c>
      <c r="Y35" s="17" t="n">
        <v>1</v>
      </c>
      <c r="Z35" s="17" t="n">
        <v>0</v>
      </c>
      <c r="AA35" s="11"/>
      <c r="AB35" s="11"/>
      <c r="AC35" s="11"/>
      <c r="AD35" s="11"/>
      <c r="AE35" s="11"/>
    </row>
    <row r="36" customFormat="false" ht="15" hidden="false" customHeight="false" outlineLevel="0" collapsed="false">
      <c r="A36" s="11" t="s">
        <v>81</v>
      </c>
      <c r="B36" s="11" t="s">
        <v>36</v>
      </c>
      <c r="C36" s="11" t="s">
        <v>64</v>
      </c>
      <c r="D36" s="11"/>
      <c r="E36" s="12" t="n">
        <v>500</v>
      </c>
      <c r="F36" s="12" t="n">
        <v>0.1</v>
      </c>
      <c r="G36" s="12" t="n">
        <v>6E-005</v>
      </c>
      <c r="H36" s="12" t="n">
        <v>1666.66666666667</v>
      </c>
      <c r="I36" s="11"/>
      <c r="J36" s="12" t="n">
        <v>2000</v>
      </c>
      <c r="K36" s="13" t="n">
        <f aca="false">IFERROR(INDEX('Vitesse (calcul)'!$P$21:$P$153,MATCH($A36&amp;"|"&amp;$B36,'Vitesse (calcul)'!$A$21:$A$153,0)),"N/A")</f>
        <v>825</v>
      </c>
      <c r="L36" s="15" t="n">
        <f aca="false">IFERROR(INDEX('Vitesse (calcul)'!$S$21:$S$153,MATCH($A36&amp;"|"&amp;$B36,'Vitesse (calcul)'!$A$21:$A$153,0)),"N/A")</f>
        <v>4</v>
      </c>
      <c r="M36" s="11"/>
      <c r="N36" s="11"/>
      <c r="O36" s="11"/>
      <c r="P36" s="17" t="n">
        <v>4</v>
      </c>
      <c r="Q36" s="17" t="n">
        <v>1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1</v>
      </c>
      <c r="Y36" s="17" t="n">
        <v>1</v>
      </c>
      <c r="Z36" s="17" t="n">
        <v>0</v>
      </c>
      <c r="AA36" s="11"/>
      <c r="AB36" s="11"/>
      <c r="AC36" s="11"/>
      <c r="AD36" s="11"/>
      <c r="AE36" s="11"/>
    </row>
    <row r="37" customFormat="false" ht="15" hidden="false" customHeight="false" outlineLevel="0" collapsed="false">
      <c r="A37" s="11" t="s">
        <v>82</v>
      </c>
      <c r="B37" s="11" t="s">
        <v>36</v>
      </c>
      <c r="C37" s="11" t="s">
        <v>64</v>
      </c>
      <c r="D37" s="11"/>
      <c r="E37" s="12" t="n">
        <v>800</v>
      </c>
      <c r="F37" s="12" t="n">
        <v>0.15</v>
      </c>
      <c r="G37" s="12" t="n">
        <v>0.00012</v>
      </c>
      <c r="H37" s="12" t="n">
        <v>1250</v>
      </c>
      <c r="I37" s="11"/>
      <c r="J37" s="12" t="n">
        <v>3000</v>
      </c>
      <c r="K37" s="13" t="n">
        <f aca="false">IFERROR(INDEX('Vitesse (calcul)'!$P$21:$P$153,MATCH($A37&amp;"|"&amp;$B37,'Vitesse (calcul)'!$A$21:$A$153,0)),"N/A")</f>
        <v>1175</v>
      </c>
      <c r="L37" s="15" t="n">
        <f aca="false">IFERROR(INDEX('Vitesse (calcul)'!$S$21:$S$153,MATCH($A37&amp;"|"&amp;$B37,'Vitesse (calcul)'!$A$21:$A$153,0)),"N/A")</f>
        <v>7.7</v>
      </c>
      <c r="M37" s="11"/>
      <c r="N37" s="11"/>
      <c r="O37" s="11"/>
      <c r="P37" s="17" t="n">
        <v>4</v>
      </c>
      <c r="Q37" s="17" t="n">
        <v>3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1</v>
      </c>
      <c r="Y37" s="17" t="n">
        <v>1</v>
      </c>
      <c r="Z37" s="17" t="n">
        <v>1</v>
      </c>
      <c r="AA37" s="11"/>
      <c r="AB37" s="11"/>
      <c r="AC37" s="11"/>
      <c r="AD37" s="11"/>
      <c r="AE37" s="11"/>
    </row>
    <row r="38" customFormat="false" ht="15" hidden="false" customHeight="false" outlineLevel="0" collapsed="false">
      <c r="A38" s="11" t="s">
        <v>83</v>
      </c>
      <c r="B38" s="11" t="s">
        <v>36</v>
      </c>
      <c r="C38" s="11" t="s">
        <v>64</v>
      </c>
      <c r="D38" s="11"/>
      <c r="E38" s="12" t="n">
        <v>550</v>
      </c>
      <c r="F38" s="12" t="n">
        <v>0.2</v>
      </c>
      <c r="G38" s="12" t="n">
        <v>0.0009</v>
      </c>
      <c r="H38" s="12" t="n">
        <v>222.222222222222</v>
      </c>
      <c r="I38" s="11"/>
      <c r="J38" s="12" t="n">
        <v>7500</v>
      </c>
      <c r="K38" s="13" t="n">
        <f aca="false">IFERROR(INDEX('Vitesse (calcul)'!$P$21:$P$153,MATCH($A38&amp;"|"&amp;$B38,'Vitesse (calcul)'!$A$21:$A$153,0)),"N/A")</f>
        <v>1100</v>
      </c>
      <c r="L38" s="15" t="n">
        <f aca="false">IFERROR(INDEX('Vitesse (calcul)'!$S$21:$S$153,MATCH($A38&amp;"|"&amp;$B38,'Vitesse (calcul)'!$A$21:$A$153,0)),"N/A")</f>
        <v>7.1</v>
      </c>
      <c r="M38" s="11"/>
      <c r="N38" s="11"/>
      <c r="O38" s="11"/>
      <c r="P38" s="17" t="n">
        <v>4</v>
      </c>
      <c r="Q38" s="17" t="n">
        <v>1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1</v>
      </c>
      <c r="Y38" s="17" t="n">
        <v>1</v>
      </c>
      <c r="Z38" s="17" t="n">
        <v>0</v>
      </c>
      <c r="AA38" s="11"/>
      <c r="AB38" s="11"/>
      <c r="AC38" s="11"/>
      <c r="AD38" s="11"/>
      <c r="AE38" s="11"/>
    </row>
    <row r="39" customFormat="false" ht="15" hidden="false" customHeight="false" outlineLevel="0" collapsed="false">
      <c r="A39" s="11" t="s">
        <v>84</v>
      </c>
      <c r="B39" s="11" t="s">
        <v>36</v>
      </c>
      <c r="C39" s="11" t="s">
        <v>64</v>
      </c>
      <c r="D39" s="11"/>
      <c r="E39" s="12" t="n">
        <v>650</v>
      </c>
      <c r="F39" s="12" t="n">
        <v>0.3</v>
      </c>
      <c r="G39" s="12" t="n">
        <v>0.00012</v>
      </c>
      <c r="H39" s="12" t="n">
        <v>2500</v>
      </c>
      <c r="I39" s="12" t="n">
        <v>30</v>
      </c>
      <c r="J39" s="12" t="n">
        <v>2200</v>
      </c>
      <c r="K39" s="13" t="n">
        <f aca="false">IFERROR(INDEX('Vitesse (calcul)'!$P$21:$P$153,MATCH($A39&amp;"|"&amp;$B39,'Vitesse (calcul)'!$A$21:$A$153,0)),"N/A")</f>
        <v>240</v>
      </c>
      <c r="L39" s="15" t="n">
        <f aca="false">IFERROR(INDEX('Vitesse (calcul)'!$S$21:$S$153,MATCH($A39&amp;"|"&amp;$B39,'Vitesse (calcul)'!$A$21:$A$153,0)),"N/A")</f>
        <v>1.3</v>
      </c>
      <c r="M39" s="11"/>
      <c r="N39" s="11"/>
      <c r="O39" s="11"/>
      <c r="P39" s="17" t="n">
        <v>4</v>
      </c>
      <c r="Q39" s="17" t="n">
        <v>2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1"/>
      <c r="Y39" s="11"/>
      <c r="Z39" s="11"/>
      <c r="AA39" s="11"/>
      <c r="AB39" s="11"/>
      <c r="AC39" s="11"/>
      <c r="AD39" s="11"/>
      <c r="AE39" s="11"/>
    </row>
    <row r="40" customFormat="false" ht="15" hidden="false" customHeight="false" outlineLevel="0" collapsed="false">
      <c r="A40" s="11" t="s">
        <v>85</v>
      </c>
      <c r="B40" s="11" t="s">
        <v>36</v>
      </c>
      <c r="C40" s="11" t="s">
        <v>64</v>
      </c>
      <c r="D40" s="11"/>
      <c r="E40" s="12" t="n">
        <v>650</v>
      </c>
      <c r="F40" s="12" t="n">
        <v>0.3</v>
      </c>
      <c r="G40" s="12" t="n">
        <v>0.00012</v>
      </c>
      <c r="H40" s="12" t="n">
        <v>2500</v>
      </c>
      <c r="I40" s="12" t="n">
        <v>30</v>
      </c>
      <c r="J40" s="12" t="n">
        <v>400</v>
      </c>
      <c r="K40" s="13" t="n">
        <f aca="false">IFERROR(INDEX('Vitesse (calcul)'!$P$21:$P$153,MATCH($A40&amp;"|"&amp;$B40,'Vitesse (calcul)'!$A$21:$A$153,0)),"N/A")</f>
        <v>110</v>
      </c>
      <c r="L40" s="15" t="n">
        <f aca="false">IFERROR(INDEX('Vitesse (calcul)'!$S$21:$S$153,MATCH($A40&amp;"|"&amp;$B40,'Vitesse (calcul)'!$A$21:$A$153,0)),"N/A")</f>
        <v>1.1</v>
      </c>
      <c r="M40" s="11"/>
      <c r="N40" s="11"/>
      <c r="O40" s="11"/>
      <c r="P40" s="17" t="n">
        <v>4</v>
      </c>
      <c r="Q40" s="17" t="n">
        <v>2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1"/>
      <c r="Y40" s="11"/>
      <c r="Z40" s="11"/>
      <c r="AA40" s="11"/>
      <c r="AB40" s="11"/>
      <c r="AC40" s="11"/>
      <c r="AD40" s="11"/>
      <c r="AE40" s="11"/>
    </row>
    <row r="41" customFormat="false" ht="15" hidden="false" customHeight="false" outlineLevel="0" collapsed="false">
      <c r="A41" s="11" t="s">
        <v>86</v>
      </c>
      <c r="B41" s="11" t="s">
        <v>36</v>
      </c>
      <c r="C41" s="11" t="s">
        <v>64</v>
      </c>
      <c r="D41" s="11"/>
      <c r="E41" s="12" t="n">
        <v>600</v>
      </c>
      <c r="F41" s="12" t="n">
        <v>0.5</v>
      </c>
      <c r="G41" s="12" t="n">
        <v>0.001</v>
      </c>
      <c r="H41" s="12" t="n">
        <v>500</v>
      </c>
      <c r="I41" s="11"/>
      <c r="J41" s="12" t="n">
        <v>9000</v>
      </c>
      <c r="K41" s="13" t="n">
        <f aca="false">IFERROR(INDEX('Vitesse (calcul)'!$P$21:$P$153,MATCH($A41&amp;"|"&amp;$B41,'Vitesse (calcul)'!$A$21:$A$153,0)),"N/A")</f>
        <v>1000</v>
      </c>
      <c r="L41" s="15" t="n">
        <f aca="false">IFERROR(INDEX('Vitesse (calcul)'!$S$21:$S$153,MATCH($A41&amp;"|"&amp;$B41,'Vitesse (calcul)'!$A$21:$A$153,0)),"N/A")</f>
        <v>5.4</v>
      </c>
      <c r="M41" s="11"/>
      <c r="N41" s="11"/>
      <c r="O41" s="11"/>
      <c r="P41" s="17" t="n">
        <v>4</v>
      </c>
      <c r="Q41" s="17" t="n">
        <v>2</v>
      </c>
      <c r="R41" s="17" t="n">
        <v>1</v>
      </c>
      <c r="S41" s="17" t="n">
        <v>0</v>
      </c>
      <c r="T41" s="17" t="n">
        <v>0</v>
      </c>
      <c r="U41" s="17" t="n">
        <v>1</v>
      </c>
      <c r="V41" s="17" t="n">
        <v>0</v>
      </c>
      <c r="W41" s="17" t="n">
        <v>0</v>
      </c>
      <c r="X41" s="17" t="n">
        <v>2</v>
      </c>
      <c r="Y41" s="17" t="n">
        <v>1</v>
      </c>
      <c r="Z41" s="17" t="n">
        <v>1</v>
      </c>
      <c r="AA41" s="11"/>
      <c r="AB41" s="11"/>
      <c r="AC41" s="11"/>
      <c r="AD41" s="11"/>
      <c r="AE41" s="11"/>
    </row>
    <row r="42" customFormat="false" ht="15" hidden="false" customHeight="false" outlineLevel="0" collapsed="false">
      <c r="A42" s="11" t="s">
        <v>87</v>
      </c>
      <c r="B42" s="11" t="s">
        <v>36</v>
      </c>
      <c r="C42" s="11" t="s">
        <v>64</v>
      </c>
      <c r="D42" s="11"/>
      <c r="E42" s="12" t="n">
        <v>650</v>
      </c>
      <c r="F42" s="12" t="n">
        <v>0.5</v>
      </c>
      <c r="G42" s="12" t="n">
        <v>0.0012</v>
      </c>
      <c r="H42" s="12" t="n">
        <v>416.666666666667</v>
      </c>
      <c r="I42" s="11"/>
      <c r="J42" s="12" t="n">
        <v>9000</v>
      </c>
      <c r="K42" s="13" t="n">
        <f aca="false">IFERROR(INDEX('Vitesse (calcul)'!$P$21:$P$153,MATCH($A42&amp;"|"&amp;$B42,'Vitesse (calcul)'!$A$21:$A$153,0)),"N/A")</f>
        <v>1100</v>
      </c>
      <c r="L42" s="15" t="n">
        <f aca="false">IFERROR(INDEX('Vitesse (calcul)'!$S$21:$S$153,MATCH($A42&amp;"|"&amp;$B42,'Vitesse (calcul)'!$A$21:$A$153,0)),"N/A")</f>
        <v>7.1</v>
      </c>
      <c r="M42" s="11"/>
      <c r="N42" s="11"/>
      <c r="O42" s="11"/>
      <c r="P42" s="17" t="n">
        <v>4</v>
      </c>
      <c r="Q42" s="17" t="n">
        <v>2</v>
      </c>
      <c r="R42" s="17" t="n">
        <v>1</v>
      </c>
      <c r="S42" s="17" t="n">
        <v>0</v>
      </c>
      <c r="T42" s="17" t="n">
        <v>0</v>
      </c>
      <c r="U42" s="17" t="n">
        <v>1</v>
      </c>
      <c r="V42" s="17" t="n">
        <v>0</v>
      </c>
      <c r="W42" s="17" t="n">
        <v>0</v>
      </c>
      <c r="X42" s="17" t="n">
        <v>2</v>
      </c>
      <c r="Y42" s="17" t="n">
        <v>1</v>
      </c>
      <c r="Z42" s="17" t="n">
        <v>1</v>
      </c>
      <c r="AA42" s="11"/>
      <c r="AB42" s="11"/>
      <c r="AC42" s="11"/>
      <c r="AD42" s="11"/>
      <c r="AE42" s="11"/>
    </row>
    <row r="43" customFormat="false" ht="15" hidden="false" customHeight="false" outlineLevel="0" collapsed="false">
      <c r="A43" s="11" t="s">
        <v>88</v>
      </c>
      <c r="B43" s="11" t="s">
        <v>36</v>
      </c>
      <c r="C43" s="11" t="s">
        <v>64</v>
      </c>
      <c r="D43" s="11"/>
      <c r="E43" s="12" t="n">
        <v>750</v>
      </c>
      <c r="F43" s="12" t="n">
        <v>0.5</v>
      </c>
      <c r="G43" s="12" t="n">
        <v>0.0012</v>
      </c>
      <c r="H43" s="12" t="n">
        <v>416.666666666667</v>
      </c>
      <c r="I43" s="11"/>
      <c r="J43" s="12" t="n">
        <v>6000</v>
      </c>
      <c r="K43" s="13" t="n">
        <f aca="false">IFERROR(INDEX('Vitesse (calcul)'!$P$21:$P$153,MATCH($A43&amp;"|"&amp;$B43,'Vitesse (calcul)'!$A$21:$A$153,0)),"N/A")</f>
        <v>1100</v>
      </c>
      <c r="L43" s="15" t="n">
        <f aca="false">IFERROR(INDEX('Vitesse (calcul)'!$S$21:$S$153,MATCH($A43&amp;"|"&amp;$B43,'Vitesse (calcul)'!$A$21:$A$153,0)),"N/A")</f>
        <v>7.1</v>
      </c>
      <c r="M43" s="11"/>
      <c r="N43" s="11"/>
      <c r="O43" s="11"/>
      <c r="P43" s="17" t="n">
        <v>4</v>
      </c>
      <c r="Q43" s="17" t="n">
        <v>3</v>
      </c>
      <c r="R43" s="17" t="n">
        <v>1</v>
      </c>
      <c r="S43" s="17" t="n">
        <v>0</v>
      </c>
      <c r="T43" s="17" t="n">
        <v>0</v>
      </c>
      <c r="U43" s="17" t="n">
        <v>1</v>
      </c>
      <c r="V43" s="17" t="n">
        <v>0</v>
      </c>
      <c r="W43" s="17" t="n">
        <v>0</v>
      </c>
      <c r="X43" s="17" t="n">
        <v>2</v>
      </c>
      <c r="Y43" s="17" t="n">
        <v>2</v>
      </c>
      <c r="Z43" s="17" t="n">
        <v>1</v>
      </c>
      <c r="AA43" s="11"/>
      <c r="AB43" s="11"/>
      <c r="AC43" s="11"/>
      <c r="AD43" s="11"/>
      <c r="AE43" s="11"/>
    </row>
    <row r="44" customFormat="false" ht="15" hidden="false" customHeight="false" outlineLevel="0" collapsed="false">
      <c r="A44" s="11" t="s">
        <v>89</v>
      </c>
      <c r="B44" s="11" t="s">
        <v>36</v>
      </c>
      <c r="C44" s="11" t="s">
        <v>64</v>
      </c>
      <c r="D44" s="11"/>
      <c r="E44" s="12" t="n">
        <v>650</v>
      </c>
      <c r="F44" s="12" t="n">
        <v>0.5</v>
      </c>
      <c r="G44" s="12" t="n">
        <v>0.0012</v>
      </c>
      <c r="H44" s="12" t="n">
        <v>416.666666666667</v>
      </c>
      <c r="I44" s="11"/>
      <c r="J44" s="12" t="n">
        <v>5500</v>
      </c>
      <c r="K44" s="13" t="n">
        <f aca="false">IFERROR(INDEX('Vitesse (calcul)'!$P$21:$P$153,MATCH($A44&amp;"|"&amp;$B44,'Vitesse (calcul)'!$A$21:$A$153,0)),"N/A")</f>
        <v>1100</v>
      </c>
      <c r="L44" s="15" t="n">
        <f aca="false">IFERROR(INDEX('Vitesse (calcul)'!$S$21:$S$153,MATCH($A44&amp;"|"&amp;$B44,'Vitesse (calcul)'!$A$21:$A$153,0)),"N/A")</f>
        <v>7.1</v>
      </c>
      <c r="M44" s="11"/>
      <c r="N44" s="11"/>
      <c r="O44" s="11"/>
      <c r="P44" s="17" t="n">
        <v>4</v>
      </c>
      <c r="Q44" s="17" t="n">
        <v>2</v>
      </c>
      <c r="R44" s="17" t="n">
        <v>1</v>
      </c>
      <c r="S44" s="17" t="n">
        <v>0</v>
      </c>
      <c r="T44" s="17" t="n">
        <v>0</v>
      </c>
      <c r="U44" s="17" t="n">
        <v>1</v>
      </c>
      <c r="V44" s="17" t="n">
        <v>0</v>
      </c>
      <c r="W44" s="17" t="n">
        <v>0</v>
      </c>
      <c r="X44" s="17" t="n">
        <v>2</v>
      </c>
      <c r="Y44" s="17" t="n">
        <v>1</v>
      </c>
      <c r="Z44" s="17" t="n">
        <v>1</v>
      </c>
      <c r="AA44" s="11"/>
      <c r="AB44" s="11"/>
      <c r="AC44" s="11"/>
      <c r="AD44" s="11"/>
      <c r="AE44" s="11"/>
    </row>
    <row r="45" customFormat="false" ht="15" hidden="false" customHeight="false" outlineLevel="0" collapsed="false">
      <c r="A45" s="11" t="s">
        <v>90</v>
      </c>
      <c r="B45" s="11" t="s">
        <v>36</v>
      </c>
      <c r="C45" s="11" t="s">
        <v>64</v>
      </c>
      <c r="D45" s="11"/>
      <c r="E45" s="12" t="n">
        <v>800</v>
      </c>
      <c r="F45" s="12" t="n">
        <v>2.5</v>
      </c>
      <c r="G45" s="12" t="n">
        <v>0.0009</v>
      </c>
      <c r="H45" s="12" t="n">
        <v>2777.77777777778</v>
      </c>
      <c r="I45" s="12" t="n">
        <v>10</v>
      </c>
      <c r="J45" s="12" t="n">
        <v>1000</v>
      </c>
      <c r="K45" s="13" t="n">
        <f aca="false">IFERROR(INDEX('Vitesse (calcul)'!$P$21:$P$153,MATCH($A45&amp;"|"&amp;$B45,'Vitesse (calcul)'!$A$21:$A$153,0)),"N/A")</f>
        <v>280</v>
      </c>
      <c r="L45" s="15" t="n">
        <f aca="false">IFERROR(INDEX('Vitesse (calcul)'!$S$21:$S$153,MATCH($A45&amp;"|"&amp;$B45,'Vitesse (calcul)'!$A$21:$A$153,0)),"N/A")</f>
        <v>1.5</v>
      </c>
      <c r="M45" s="11"/>
      <c r="N45" s="11"/>
      <c r="O45" s="11"/>
      <c r="P45" s="17" t="n">
        <v>5</v>
      </c>
      <c r="Q45" s="17" t="n">
        <v>3</v>
      </c>
      <c r="R45" s="17" t="n">
        <v>2</v>
      </c>
      <c r="S45" s="17" t="n">
        <v>1</v>
      </c>
      <c r="T45" s="17" t="n">
        <v>0</v>
      </c>
      <c r="U45" s="17" t="n">
        <v>2</v>
      </c>
      <c r="V45" s="17" t="n">
        <v>1</v>
      </c>
      <c r="W45" s="17" t="n">
        <v>0</v>
      </c>
      <c r="X45" s="11"/>
      <c r="Y45" s="11"/>
      <c r="Z45" s="11"/>
      <c r="AA45" s="11"/>
      <c r="AB45" s="11"/>
      <c r="AC45" s="11"/>
      <c r="AD45" s="11"/>
      <c r="AE45" s="11"/>
    </row>
    <row r="46" customFormat="false" ht="15" hidden="false" customHeight="false" outlineLevel="0" collapsed="false">
      <c r="A46" s="11" t="s">
        <v>91</v>
      </c>
      <c r="B46" s="11" t="s">
        <v>36</v>
      </c>
      <c r="C46" s="11" t="s">
        <v>64</v>
      </c>
      <c r="D46" s="11"/>
      <c r="E46" s="12" t="n">
        <v>700</v>
      </c>
      <c r="F46" s="12" t="n">
        <v>0.7</v>
      </c>
      <c r="G46" s="12" t="n">
        <v>0.015</v>
      </c>
      <c r="H46" s="12" t="n">
        <v>46.6666666666667</v>
      </c>
      <c r="I46" s="11"/>
      <c r="J46" s="12" t="n">
        <v>25000</v>
      </c>
      <c r="K46" s="13" t="n">
        <f aca="false">IFERROR(INDEX('Vitesse (calcul)'!$P$21:$P$153,MATCH($A46&amp;"|"&amp;$B46,'Vitesse (calcul)'!$A$21:$A$153,0)),"N/A")</f>
        <v>760</v>
      </c>
      <c r="L46" s="15" t="n">
        <f aca="false">IFERROR(INDEX('Vitesse (calcul)'!$S$21:$S$153,MATCH($A46&amp;"|"&amp;$B46,'Vitesse (calcul)'!$A$21:$A$153,0)),"N/A")</f>
        <v>3</v>
      </c>
      <c r="M46" s="11"/>
      <c r="N46" s="11"/>
      <c r="O46" s="11"/>
      <c r="P46" s="17" t="n">
        <v>4</v>
      </c>
      <c r="Q46" s="17" t="n">
        <v>2</v>
      </c>
      <c r="R46" s="17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1"/>
      <c r="Y46" s="11"/>
      <c r="Z46" s="11"/>
      <c r="AA46" s="11"/>
      <c r="AB46" s="11"/>
      <c r="AC46" s="11"/>
      <c r="AD46" s="11"/>
      <c r="AE46" s="11"/>
    </row>
    <row r="47" customFormat="false" ht="15" hidden="false" customHeight="false" outlineLevel="0" collapsed="false">
      <c r="A47" s="11" t="s">
        <v>92</v>
      </c>
      <c r="B47" s="11" t="s">
        <v>36</v>
      </c>
      <c r="C47" s="11" t="s">
        <v>64</v>
      </c>
      <c r="D47" s="11"/>
      <c r="E47" s="12" t="n">
        <v>700</v>
      </c>
      <c r="F47" s="12" t="n">
        <v>0.7</v>
      </c>
      <c r="G47" s="12" t="n">
        <v>0.015</v>
      </c>
      <c r="H47" s="12" t="n">
        <v>46.6666666666667</v>
      </c>
      <c r="I47" s="11"/>
      <c r="J47" s="12" t="n">
        <v>25000</v>
      </c>
      <c r="K47" s="13" t="n">
        <f aca="false">IFERROR(INDEX('Vitesse (calcul)'!$P$21:$P$153,MATCH($A47&amp;"|"&amp;$B47,'Vitesse (calcul)'!$A$21:$A$153,0)),"N/A")</f>
        <v>950</v>
      </c>
      <c r="L47" s="15" t="n">
        <f aca="false">IFERROR(INDEX('Vitesse (calcul)'!$S$21:$S$153,MATCH($A47&amp;"|"&amp;$B47,'Vitesse (calcul)'!$A$21:$A$153,0)),"N/A")</f>
        <v>5.1</v>
      </c>
      <c r="M47" s="11"/>
      <c r="N47" s="11"/>
      <c r="O47" s="11"/>
      <c r="P47" s="17" t="n">
        <v>4</v>
      </c>
      <c r="Q47" s="17" t="n">
        <v>2</v>
      </c>
      <c r="R47" s="17" t="n">
        <v>1</v>
      </c>
      <c r="S47" s="17" t="n">
        <v>0</v>
      </c>
      <c r="T47" s="17" t="n">
        <v>0</v>
      </c>
      <c r="U47" s="17" t="n">
        <v>1</v>
      </c>
      <c r="V47" s="17" t="n">
        <v>0</v>
      </c>
      <c r="W47" s="17" t="n">
        <v>0</v>
      </c>
      <c r="X47" s="11"/>
      <c r="Y47" s="11"/>
      <c r="Z47" s="11"/>
      <c r="AA47" s="11"/>
      <c r="AB47" s="11"/>
      <c r="AC47" s="11"/>
      <c r="AD47" s="11"/>
      <c r="AE47" s="11"/>
    </row>
    <row r="48" customFormat="false" ht="15" hidden="false" customHeight="false" outlineLevel="0" collapsed="false">
      <c r="A48" s="11" t="s">
        <v>93</v>
      </c>
      <c r="B48" s="11" t="s">
        <v>36</v>
      </c>
      <c r="C48" s="11" t="s">
        <v>64</v>
      </c>
      <c r="D48" s="11"/>
      <c r="E48" s="12" t="n">
        <v>700</v>
      </c>
      <c r="F48" s="12" t="n">
        <v>1</v>
      </c>
      <c r="G48" s="12" t="n">
        <v>6E-005</v>
      </c>
      <c r="H48" s="12" t="n">
        <v>16666.6666666667</v>
      </c>
      <c r="I48" s="11"/>
      <c r="J48" s="12" t="n">
        <v>1500</v>
      </c>
      <c r="K48" s="13" t="n">
        <f aca="false">IFERROR(INDEX('Vitesse (calcul)'!$P$21:$P$153,MATCH($A48&amp;"|"&amp;$B48,'Vitesse (calcul)'!$A$21:$A$153,0)),"N/A")</f>
        <v>400</v>
      </c>
      <c r="L48" s="15" t="n">
        <f aca="false">IFERROR(INDEX('Vitesse (calcul)'!$S$21:$S$153,MATCH($A48&amp;"|"&amp;$B48,'Vitesse (calcul)'!$A$21:$A$153,0)),"N/A")</f>
        <v>2.3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customFormat="false" ht="15" hidden="false" customHeight="false" outlineLevel="0" collapsed="false">
      <c r="A49" s="11" t="s">
        <v>94</v>
      </c>
      <c r="B49" s="11" t="s">
        <v>36</v>
      </c>
      <c r="C49" s="11" t="s">
        <v>64</v>
      </c>
      <c r="D49" s="11"/>
      <c r="E49" s="12" t="n">
        <v>100</v>
      </c>
      <c r="F49" s="12" t="n">
        <v>2</v>
      </c>
      <c r="G49" s="12" t="n">
        <v>0</v>
      </c>
      <c r="H49" s="11"/>
      <c r="I49" s="11"/>
      <c r="J49" s="12" t="n">
        <v>1000</v>
      </c>
      <c r="K49" s="13" t="n">
        <f aca="false">IFERROR(INDEX('Vitesse (calcul)'!$P$21:$P$153,MATCH($A49&amp;"|"&amp;$B49,'Vitesse (calcul)'!$A$21:$A$153,0)),"N/A")</f>
        <v>5000</v>
      </c>
      <c r="L49" s="15" t="n">
        <f aca="false">IFERROR(INDEX('Vitesse (calcul)'!$S$21:$S$153,MATCH($A49&amp;"|"&amp;$B49,'Vitesse (calcul)'!$A$21:$A$153,0)),"N/A")</f>
        <v>10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customFormat="false" ht="15" hidden="false" customHeight="false" outlineLevel="0" collapsed="false">
      <c r="A50" s="11" t="s">
        <v>95</v>
      </c>
      <c r="B50" s="11" t="s">
        <v>36</v>
      </c>
      <c r="C50" s="11" t="s">
        <v>64</v>
      </c>
      <c r="D50" s="11"/>
      <c r="E50" s="12" t="n">
        <v>100</v>
      </c>
      <c r="F50" s="12" t="n">
        <v>0</v>
      </c>
      <c r="G50" s="12" t="n">
        <v>1E-006</v>
      </c>
      <c r="H50" s="12" t="n">
        <v>0</v>
      </c>
      <c r="I50" s="11"/>
      <c r="J50" s="12" t="n">
        <v>1000</v>
      </c>
      <c r="K50" s="13" t="n">
        <f aca="false">IFERROR(INDEX('Vitesse (calcul)'!$P$21:$P$153,MATCH($A50&amp;"|"&amp;$B50,'Vitesse (calcul)'!$A$21:$A$153,0)),"N/A")</f>
        <v>920</v>
      </c>
      <c r="L50" s="15" t="n">
        <f aca="false">IFERROR(INDEX('Vitesse (calcul)'!$S$21:$S$153,MATCH($A50&amp;"|"&amp;$B50,'Vitesse (calcul)'!$A$21:$A$153,0)),"N/A")</f>
        <v>5</v>
      </c>
      <c r="M50" s="11"/>
      <c r="N50" s="11"/>
      <c r="O50" s="11"/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1"/>
      <c r="AB50" s="11"/>
      <c r="AC50" s="11"/>
      <c r="AD50" s="11"/>
      <c r="AE50" s="11"/>
    </row>
    <row r="51" customFormat="false" ht="15" hidden="false" customHeight="false" outlineLevel="0" collapsed="false">
      <c r="A51" s="11" t="s">
        <v>96</v>
      </c>
      <c r="B51" s="11" t="s">
        <v>36</v>
      </c>
      <c r="C51" s="11" t="s">
        <v>97</v>
      </c>
      <c r="D51" s="11" t="s">
        <v>98</v>
      </c>
      <c r="E51" s="12" t="n">
        <v>400</v>
      </c>
      <c r="F51" s="12" t="n">
        <v>19</v>
      </c>
      <c r="G51" s="12" t="n">
        <v>0.89</v>
      </c>
      <c r="H51" s="12" t="n">
        <v>21.3483146067416</v>
      </c>
      <c r="I51" s="12" t="n">
        <v>2000</v>
      </c>
      <c r="J51" s="12" t="n">
        <v>35000</v>
      </c>
      <c r="K51" s="13" t="n">
        <f aca="false">IFERROR(INDEX('Vitesse (calcul)'!$P$21:$P$153,MATCH($A51&amp;"|"&amp;$B51,'Vitesse (calcul)'!$A$21:$A$153,0)),"N/A")</f>
        <v>1150</v>
      </c>
      <c r="L51" s="14" t="n">
        <f aca="false">IFERROR(INDEX('Vitesse (calcul)'!$S$21:$S$153,MATCH($A51&amp;"|"&amp;$B51,'Vitesse (calcul)'!$A$21:$A$153,0)),"N/A")</f>
        <v>7.2</v>
      </c>
      <c r="M51" s="11" t="s">
        <v>99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7" t="n">
        <v>5</v>
      </c>
      <c r="Y51" s="17" t="n">
        <v>4</v>
      </c>
      <c r="Z51" s="17" t="n">
        <v>3</v>
      </c>
      <c r="AA51" s="11"/>
      <c r="AB51" s="11"/>
      <c r="AC51" s="11"/>
      <c r="AD51" s="11"/>
      <c r="AE51" s="11"/>
    </row>
    <row r="52" customFormat="false" ht="15" hidden="false" customHeight="false" outlineLevel="0" collapsed="false">
      <c r="A52" s="11" t="s">
        <v>100</v>
      </c>
      <c r="B52" s="11" t="s">
        <v>36</v>
      </c>
      <c r="C52" s="11" t="s">
        <v>97</v>
      </c>
      <c r="D52" s="11" t="s">
        <v>98</v>
      </c>
      <c r="E52" s="12" t="n">
        <v>400</v>
      </c>
      <c r="F52" s="12" t="n">
        <v>25</v>
      </c>
      <c r="G52" s="12" t="n">
        <v>2.1</v>
      </c>
      <c r="H52" s="12" t="n">
        <v>11.9047619047619</v>
      </c>
      <c r="I52" s="12" t="n">
        <v>5000</v>
      </c>
      <c r="J52" s="12" t="n">
        <v>100000</v>
      </c>
      <c r="K52" s="13" t="n">
        <f aca="false">IFERROR(INDEX('Vitesse (calcul)'!$P$21:$P$153,MATCH($A52&amp;"|"&amp;$B52,'Vitesse (calcul)'!$A$21:$A$153,0)),"N/A")</f>
        <v>1276.111</v>
      </c>
      <c r="L52" s="14" t="n">
        <f aca="false">IFERROR(INDEX('Vitesse (calcul)'!$S$21:$S$153,MATCH($A52&amp;"|"&amp;$B52,'Vitesse (calcul)'!$A$21:$A$153,0)),"N/A")</f>
        <v>8.3</v>
      </c>
      <c r="M52" s="11" t="s">
        <v>101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7" t="n">
        <v>5</v>
      </c>
      <c r="Y52" s="17" t="n">
        <v>4</v>
      </c>
      <c r="Z52" s="17" t="n">
        <v>3</v>
      </c>
      <c r="AA52" s="11"/>
      <c r="AB52" s="11"/>
      <c r="AC52" s="11"/>
      <c r="AD52" s="11"/>
      <c r="AE52" s="11"/>
    </row>
    <row r="53" customFormat="false" ht="15" hidden="false" customHeight="false" outlineLevel="0" collapsed="false">
      <c r="A53" s="11" t="s">
        <v>102</v>
      </c>
      <c r="B53" s="11" t="s">
        <v>36</v>
      </c>
      <c r="C53" s="11" t="s">
        <v>97</v>
      </c>
      <c r="D53" s="11" t="s">
        <v>38</v>
      </c>
      <c r="E53" s="12" t="n">
        <v>1550</v>
      </c>
      <c r="F53" s="12" t="n">
        <v>9</v>
      </c>
      <c r="G53" s="12" t="n">
        <v>0.09</v>
      </c>
      <c r="H53" s="12" t="n">
        <v>100</v>
      </c>
      <c r="I53" s="12" t="n">
        <v>1000</v>
      </c>
      <c r="J53" s="12" t="n">
        <v>10000</v>
      </c>
      <c r="K53" s="13" t="n">
        <f aca="false">IFERROR(INDEX('Vitesse (calcul)'!$P$21:$P$153,MATCH($A53&amp;"|"&amp;$B53,'Vitesse (calcul)'!$A$21:$A$153,0)),"N/A")</f>
        <v>357.5</v>
      </c>
      <c r="L53" s="14" t="n">
        <f aca="false">IFERROR(INDEX('Vitesse (calcul)'!$S$21:$S$153,MATCH($A53&amp;"|"&amp;$B53,'Vitesse (calcul)'!$A$21:$A$153,0)),"N/A")</f>
        <v>2.1</v>
      </c>
      <c r="M53" s="11" t="s">
        <v>103</v>
      </c>
      <c r="N53" s="11"/>
      <c r="O53" s="11"/>
      <c r="P53" s="17" t="n">
        <v>5</v>
      </c>
      <c r="Q53" s="17" t="n">
        <v>5</v>
      </c>
      <c r="R53" s="17" t="n">
        <v>3</v>
      </c>
      <c r="S53" s="17" t="n">
        <v>1</v>
      </c>
      <c r="T53" s="17" t="n">
        <v>0</v>
      </c>
      <c r="U53" s="17" t="n">
        <v>3</v>
      </c>
      <c r="V53" s="17" t="n">
        <v>1</v>
      </c>
      <c r="W53" s="17" t="n">
        <v>0</v>
      </c>
      <c r="X53" s="11"/>
      <c r="Y53" s="11"/>
      <c r="Z53" s="11"/>
      <c r="AA53" s="11"/>
      <c r="AB53" s="12" t="n">
        <v>0.02</v>
      </c>
      <c r="AC53" s="12" t="n">
        <v>1</v>
      </c>
      <c r="AD53" s="12" t="n">
        <v>1</v>
      </c>
      <c r="AE53" s="12" t="n">
        <v>0</v>
      </c>
    </row>
    <row r="54" customFormat="false" ht="15" hidden="false" customHeight="false" outlineLevel="0" collapsed="false">
      <c r="A54" s="11" t="s">
        <v>104</v>
      </c>
      <c r="B54" s="11" t="s">
        <v>36</v>
      </c>
      <c r="C54" s="11" t="s">
        <v>97</v>
      </c>
      <c r="D54" s="11" t="s">
        <v>38</v>
      </c>
      <c r="E54" s="12" t="n">
        <v>2500</v>
      </c>
      <c r="F54" s="12" t="n">
        <v>130</v>
      </c>
      <c r="G54" s="12" t="n">
        <v>0.12</v>
      </c>
      <c r="H54" s="12" t="n">
        <v>1083.33333333333</v>
      </c>
      <c r="I54" s="12" t="n">
        <v>1000</v>
      </c>
      <c r="J54" s="12" t="n">
        <v>15000</v>
      </c>
      <c r="K54" s="13" t="n">
        <f aca="false">IFERROR(INDEX('Vitesse (calcul)'!$P$21:$P$153,MATCH($A54&amp;"|"&amp;$B54,'Vitesse (calcul)'!$A$21:$A$153,0)),"N/A")</f>
        <v>393.333</v>
      </c>
      <c r="L54" s="14" t="n">
        <f aca="false">IFERROR(INDEX('Vitesse (calcul)'!$S$21:$S$153,MATCH($A54&amp;"|"&amp;$B54,'Vitesse (calcul)'!$A$21:$A$153,0)),"N/A")</f>
        <v>2.2</v>
      </c>
      <c r="M54" s="11" t="s">
        <v>105</v>
      </c>
      <c r="N54" s="11"/>
      <c r="O54" s="11"/>
      <c r="P54" s="17" t="n">
        <v>5</v>
      </c>
      <c r="Q54" s="17" t="n">
        <v>5</v>
      </c>
      <c r="R54" s="17" t="n">
        <v>5</v>
      </c>
      <c r="S54" s="17" t="n">
        <v>3</v>
      </c>
      <c r="T54" s="17" t="n">
        <v>0</v>
      </c>
      <c r="U54" s="17" t="n">
        <v>4</v>
      </c>
      <c r="V54" s="17" t="n">
        <v>3</v>
      </c>
      <c r="W54" s="17" t="n">
        <v>0</v>
      </c>
      <c r="X54" s="11"/>
      <c r="Y54" s="11"/>
      <c r="Z54" s="11"/>
      <c r="AA54" s="11"/>
      <c r="AB54" s="12" t="n">
        <v>0.05</v>
      </c>
      <c r="AC54" s="12" t="n">
        <v>2</v>
      </c>
      <c r="AD54" s="12" t="n">
        <v>2</v>
      </c>
      <c r="AE54" s="12" t="n">
        <v>1</v>
      </c>
    </row>
    <row r="55" customFormat="false" ht="15" hidden="false" customHeight="false" outlineLevel="0" collapsed="false">
      <c r="A55" s="11" t="s">
        <v>106</v>
      </c>
      <c r="B55" s="11" t="s">
        <v>36</v>
      </c>
      <c r="C55" s="11" t="s">
        <v>97</v>
      </c>
      <c r="D55" s="11" t="s">
        <v>107</v>
      </c>
      <c r="E55" s="12" t="n">
        <v>150</v>
      </c>
      <c r="F55" s="12" t="n">
        <v>250</v>
      </c>
      <c r="G55" s="12" t="n">
        <v>1.25</v>
      </c>
      <c r="H55" s="12" t="n">
        <v>200</v>
      </c>
      <c r="I55" s="12" t="n">
        <v>1000</v>
      </c>
      <c r="J55" s="12" t="n">
        <v>100000</v>
      </c>
      <c r="K55" s="13" t="n">
        <f aca="false">IFERROR(INDEX('Vitesse (calcul)'!$P$21:$P$153,MATCH($A55&amp;"|"&amp;$B55,'Vitesse (calcul)'!$A$21:$A$153,0)),"N/A")</f>
        <v>309.722</v>
      </c>
      <c r="L55" s="14" t="n">
        <f aca="false">IFERROR(INDEX('Vitesse (calcul)'!$S$21:$S$153,MATCH($A55&amp;"|"&amp;$B55,'Vitesse (calcul)'!$A$21:$A$153,0)),"N/A")</f>
        <v>1.8</v>
      </c>
      <c r="M55" s="11" t="s">
        <v>108</v>
      </c>
      <c r="N55" s="11"/>
      <c r="O55" s="11"/>
      <c r="P55" s="17" t="n">
        <v>5</v>
      </c>
      <c r="Q55" s="17" t="n">
        <v>4</v>
      </c>
      <c r="R55" s="17" t="n">
        <v>5</v>
      </c>
      <c r="S55" s="17" t="n">
        <v>3</v>
      </c>
      <c r="T55" s="17" t="n">
        <v>0</v>
      </c>
      <c r="U55" s="17" t="n">
        <v>4</v>
      </c>
      <c r="V55" s="17" t="n">
        <v>3</v>
      </c>
      <c r="W55" s="17" t="n">
        <v>1</v>
      </c>
      <c r="X55" s="11"/>
      <c r="Y55" s="11"/>
      <c r="Z55" s="11"/>
      <c r="AA55" s="11"/>
      <c r="AB55" s="12" t="n">
        <v>0.008</v>
      </c>
      <c r="AC55" s="12" t="n">
        <v>3</v>
      </c>
      <c r="AD55" s="12" t="n">
        <v>2</v>
      </c>
      <c r="AE55" s="12" t="n">
        <v>1</v>
      </c>
    </row>
    <row r="56" customFormat="false" ht="15" hidden="false" customHeight="false" outlineLevel="0" collapsed="false">
      <c r="A56" s="11" t="s">
        <v>109</v>
      </c>
      <c r="B56" s="11" t="s">
        <v>36</v>
      </c>
      <c r="C56" s="11" t="s">
        <v>97</v>
      </c>
      <c r="D56" s="11" t="s">
        <v>107</v>
      </c>
      <c r="E56" s="12" t="n">
        <v>1000</v>
      </c>
      <c r="F56" s="12" t="n">
        <v>450</v>
      </c>
      <c r="G56" s="12" t="n">
        <v>1.5</v>
      </c>
      <c r="H56" s="12" t="n">
        <v>300</v>
      </c>
      <c r="I56" s="12" t="n">
        <v>2000</v>
      </c>
      <c r="J56" s="12" t="n">
        <v>1000000</v>
      </c>
      <c r="K56" s="13" t="n">
        <f aca="false">IFERROR(INDEX('Vitesse (calcul)'!$P$21:$P$153,MATCH($A56&amp;"|"&amp;$B56,'Vitesse (calcul)'!$A$21:$A$153,0)),"N/A")</f>
        <v>344.722</v>
      </c>
      <c r="L56" s="14" t="n">
        <f aca="false">IFERROR(INDEX('Vitesse (calcul)'!$S$21:$S$153,MATCH($A56&amp;"|"&amp;$B56,'Vitesse (calcul)'!$A$21:$A$153,0)),"N/A")</f>
        <v>1.9</v>
      </c>
      <c r="M56" s="11" t="s">
        <v>110</v>
      </c>
      <c r="N56" s="11"/>
      <c r="O56" s="11"/>
      <c r="P56" s="16" t="n">
        <v>5</v>
      </c>
      <c r="Q56" s="17" t="n">
        <v>5</v>
      </c>
      <c r="R56" s="17" t="n">
        <v>5</v>
      </c>
      <c r="S56" s="17" t="n">
        <v>4</v>
      </c>
      <c r="T56" s="17" t="n">
        <v>4</v>
      </c>
      <c r="U56" s="17" t="n">
        <v>5</v>
      </c>
      <c r="V56" s="17" t="n">
        <v>3</v>
      </c>
      <c r="W56" s="17" t="n">
        <v>2</v>
      </c>
      <c r="X56" s="11"/>
      <c r="Y56" s="11"/>
      <c r="Z56" s="11"/>
      <c r="AA56" s="11"/>
      <c r="AB56" s="12" t="n">
        <v>0.005</v>
      </c>
      <c r="AC56" s="12" t="n">
        <v>3</v>
      </c>
      <c r="AD56" s="12" t="n">
        <v>2</v>
      </c>
      <c r="AE56" s="12" t="n">
        <v>1</v>
      </c>
    </row>
    <row r="57" customFormat="false" ht="15" hidden="false" customHeight="false" outlineLevel="0" collapsed="false">
      <c r="A57" s="11" t="s">
        <v>111</v>
      </c>
      <c r="B57" s="11" t="s">
        <v>36</v>
      </c>
      <c r="C57" s="11" t="s">
        <v>97</v>
      </c>
      <c r="D57" s="11" t="s">
        <v>112</v>
      </c>
      <c r="E57" s="12" t="n">
        <v>0</v>
      </c>
      <c r="F57" s="12" t="n">
        <v>70</v>
      </c>
      <c r="G57" s="12" t="n">
        <v>0.68</v>
      </c>
      <c r="H57" s="12" t="n">
        <v>102.941176470588</v>
      </c>
      <c r="I57" s="12" t="n">
        <v>1000</v>
      </c>
      <c r="J57" s="12" t="n">
        <v>60000</v>
      </c>
      <c r="K57" s="13" t="n">
        <f aca="false">IFERROR(INDEX('Vitesse (calcul)'!$P$21:$P$153,MATCH($A57&amp;"|"&amp;$B57,'Vitesse (calcul)'!$A$21:$A$153,0)),"N/A")</f>
        <v>1011.389</v>
      </c>
      <c r="L57" s="14" t="n">
        <f aca="false">IFERROR(INDEX('Vitesse (calcul)'!$S$21:$S$153,MATCH($A57&amp;"|"&amp;$B57,'Vitesse (calcul)'!$A$21:$A$153,0)),"N/A")</f>
        <v>5.5</v>
      </c>
      <c r="M57" s="11" t="s">
        <v>113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customFormat="false" ht="15" hidden="false" customHeight="false" outlineLevel="0" collapsed="false">
      <c r="A58" s="11" t="s">
        <v>114</v>
      </c>
      <c r="B58" s="11" t="s">
        <v>36</v>
      </c>
      <c r="C58" s="11" t="s">
        <v>97</v>
      </c>
      <c r="D58" s="11" t="s">
        <v>112</v>
      </c>
      <c r="E58" s="12" t="n">
        <v>0</v>
      </c>
      <c r="F58" s="12" t="n">
        <v>32</v>
      </c>
      <c r="G58" s="12" t="n">
        <v>0.39</v>
      </c>
      <c r="H58" s="12" t="n">
        <v>82.051282051282</v>
      </c>
      <c r="I58" s="12" t="n">
        <v>1000</v>
      </c>
      <c r="J58" s="12" t="n">
        <v>25000</v>
      </c>
      <c r="K58" s="13" t="n">
        <f aca="false">IFERROR(INDEX('Vitesse (calcul)'!$P$21:$P$153,MATCH($A58&amp;"|"&amp;$B58,'Vitesse (calcul)'!$A$21:$A$153,0)),"N/A")</f>
        <v>1156.87</v>
      </c>
      <c r="L58" s="14" t="n">
        <f aca="false">IFERROR(INDEX('Vitesse (calcul)'!$S$21:$S$153,MATCH($A58&amp;"|"&amp;$B58,'Vitesse (calcul)'!$A$21:$A$153,0)),"N/A")</f>
        <v>7.3</v>
      </c>
      <c r="M58" s="11" t="s">
        <v>115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customFormat="false" ht="15" hidden="false" customHeight="false" outlineLevel="0" collapsed="false">
      <c r="A59" s="11" t="s">
        <v>116</v>
      </c>
      <c r="B59" s="11" t="s">
        <v>36</v>
      </c>
      <c r="C59" s="11" t="s">
        <v>97</v>
      </c>
      <c r="D59" s="11" t="s">
        <v>107</v>
      </c>
      <c r="E59" s="12" t="n">
        <v>300</v>
      </c>
      <c r="F59" s="12" t="n">
        <v>300</v>
      </c>
      <c r="G59" s="12" t="n">
        <v>2</v>
      </c>
      <c r="H59" s="12" t="n">
        <v>150</v>
      </c>
      <c r="I59" s="12" t="n">
        <v>5000</v>
      </c>
      <c r="J59" s="12" t="n">
        <v>250000</v>
      </c>
      <c r="K59" s="13" t="n">
        <f aca="false">IFERROR(INDEX('Vitesse (calcul)'!$P$21:$P$153,MATCH($A59&amp;"|"&amp;$B59,'Vitesse (calcul)'!$A$21:$A$153,0)),"N/A")</f>
        <v>426.667</v>
      </c>
      <c r="L59" s="14" t="n">
        <f aca="false">IFERROR(INDEX('Vitesse (calcul)'!$S$21:$S$153,MATCH($A59&amp;"|"&amp;$B59,'Vitesse (calcul)'!$A$21:$A$153,0)),"N/A")</f>
        <v>2.4</v>
      </c>
      <c r="M59" s="11" t="s">
        <v>117</v>
      </c>
      <c r="N59" s="11"/>
      <c r="O59" s="11"/>
      <c r="P59" s="17" t="n">
        <v>5</v>
      </c>
      <c r="Q59" s="17" t="n">
        <v>4</v>
      </c>
      <c r="R59" s="17" t="n">
        <v>5</v>
      </c>
      <c r="S59" s="17" t="n">
        <v>4</v>
      </c>
      <c r="T59" s="17" t="n">
        <v>3</v>
      </c>
      <c r="U59" s="17" t="n">
        <v>4</v>
      </c>
      <c r="V59" s="17" t="n">
        <v>3</v>
      </c>
      <c r="W59" s="17" t="n">
        <v>2</v>
      </c>
      <c r="X59" s="11"/>
      <c r="Y59" s="11"/>
      <c r="Z59" s="11"/>
      <c r="AA59" s="11"/>
      <c r="AB59" s="12" t="n">
        <v>0.005</v>
      </c>
      <c r="AC59" s="12" t="n">
        <v>3</v>
      </c>
      <c r="AD59" s="12" t="n">
        <v>2</v>
      </c>
      <c r="AE59" s="12" t="n">
        <v>1</v>
      </c>
    </row>
    <row r="60" customFormat="false" ht="15" hidden="false" customHeight="false" outlineLevel="0" collapsed="false">
      <c r="A60" s="11" t="s">
        <v>118</v>
      </c>
      <c r="B60" s="11" t="s">
        <v>36</v>
      </c>
      <c r="C60" s="11" t="s">
        <v>97</v>
      </c>
      <c r="D60" s="11" t="s">
        <v>38</v>
      </c>
      <c r="E60" s="12" t="n">
        <v>1600</v>
      </c>
      <c r="F60" s="12" t="n">
        <v>8</v>
      </c>
      <c r="G60" s="12" t="n">
        <v>0.08</v>
      </c>
      <c r="H60" s="12" t="n">
        <v>100</v>
      </c>
      <c r="I60" s="12" t="n">
        <v>500</v>
      </c>
      <c r="J60" s="12" t="n">
        <v>4000</v>
      </c>
      <c r="K60" s="13" t="n">
        <f aca="false">IFERROR(INDEX('Vitesse (calcul)'!$P$21:$P$153,MATCH($A60&amp;"|"&amp;$B60,'Vitesse (calcul)'!$A$21:$A$153,0)),"N/A")</f>
        <v>252.222</v>
      </c>
      <c r="L60" s="14" t="n">
        <f aca="false">IFERROR(INDEX('Vitesse (calcul)'!$S$21:$S$153,MATCH($A60&amp;"|"&amp;$B60,'Vitesse (calcul)'!$A$21:$A$153,0)),"N/A")</f>
        <v>1.4</v>
      </c>
      <c r="M60" s="11" t="s">
        <v>119</v>
      </c>
      <c r="N60" s="11"/>
      <c r="O60" s="11"/>
      <c r="P60" s="17" t="n">
        <v>5</v>
      </c>
      <c r="Q60" s="17" t="n">
        <v>5</v>
      </c>
      <c r="R60" s="17" t="n">
        <v>3</v>
      </c>
      <c r="S60" s="17" t="n">
        <v>2</v>
      </c>
      <c r="T60" s="17" t="n">
        <v>0</v>
      </c>
      <c r="U60" s="17" t="n">
        <v>3</v>
      </c>
      <c r="V60" s="17" t="n">
        <v>1</v>
      </c>
      <c r="W60" s="17" t="n">
        <v>0</v>
      </c>
      <c r="X60" s="11"/>
      <c r="Y60" s="11"/>
      <c r="Z60" s="11"/>
      <c r="AA60" s="11"/>
      <c r="AB60" s="12" t="n">
        <v>0.02</v>
      </c>
      <c r="AC60" s="12" t="n">
        <v>1</v>
      </c>
      <c r="AD60" s="12" t="n">
        <v>1</v>
      </c>
      <c r="AE60" s="12" t="n">
        <v>0</v>
      </c>
    </row>
    <row r="61" customFormat="false" ht="15" hidden="false" customHeight="false" outlineLevel="0" collapsed="false">
      <c r="A61" s="11" t="s">
        <v>120</v>
      </c>
      <c r="B61" s="11" t="s">
        <v>36</v>
      </c>
      <c r="C61" s="11" t="s">
        <v>97</v>
      </c>
      <c r="D61" s="11" t="s">
        <v>38</v>
      </c>
      <c r="E61" s="12" t="n">
        <v>2500</v>
      </c>
      <c r="F61" s="12" t="n">
        <v>8</v>
      </c>
      <c r="G61" s="12" t="n">
        <v>0.1</v>
      </c>
      <c r="H61" s="12" t="n">
        <v>80</v>
      </c>
      <c r="I61" s="12" t="n">
        <v>1000</v>
      </c>
      <c r="J61" s="12" t="n">
        <v>8000</v>
      </c>
      <c r="K61" s="13" t="n">
        <f aca="false">IFERROR(INDEX('Vitesse (calcul)'!$P$21:$P$153,MATCH($A61&amp;"|"&amp;$B61,'Vitesse (calcul)'!$A$21:$A$153,0)),"N/A")</f>
        <v>297.222</v>
      </c>
      <c r="L61" s="14" t="n">
        <f aca="false">IFERROR(INDEX('Vitesse (calcul)'!$S$21:$S$153,MATCH($A61&amp;"|"&amp;$B61,'Vitesse (calcul)'!$A$21:$A$153,0)),"N/A")</f>
        <v>1.6</v>
      </c>
      <c r="M61" s="11" t="s">
        <v>121</v>
      </c>
      <c r="N61" s="11"/>
      <c r="O61" s="11"/>
      <c r="P61" s="17" t="n">
        <v>5</v>
      </c>
      <c r="Q61" s="17" t="n">
        <v>5</v>
      </c>
      <c r="R61" s="17" t="n">
        <v>3</v>
      </c>
      <c r="S61" s="17" t="n">
        <v>1</v>
      </c>
      <c r="T61" s="17" t="n">
        <v>0</v>
      </c>
      <c r="U61" s="17" t="n">
        <v>3</v>
      </c>
      <c r="V61" s="17" t="n">
        <v>1</v>
      </c>
      <c r="W61" s="17" t="n">
        <v>0</v>
      </c>
      <c r="X61" s="11"/>
      <c r="Y61" s="11"/>
      <c r="Z61" s="11"/>
      <c r="AA61" s="11"/>
      <c r="AB61" s="12" t="n">
        <v>0.02</v>
      </c>
      <c r="AC61" s="12" t="n">
        <v>1</v>
      </c>
      <c r="AD61" s="12" t="n">
        <v>2</v>
      </c>
      <c r="AE61" s="12" t="n">
        <v>0</v>
      </c>
    </row>
    <row r="62" customFormat="false" ht="15" hidden="false" customHeight="false" outlineLevel="0" collapsed="false">
      <c r="A62" s="11" t="s">
        <v>122</v>
      </c>
      <c r="B62" s="11" t="s">
        <v>36</v>
      </c>
      <c r="C62" s="11" t="s">
        <v>97</v>
      </c>
      <c r="D62" s="11" t="s">
        <v>38</v>
      </c>
      <c r="E62" s="12" t="n">
        <v>300</v>
      </c>
      <c r="F62" s="12" t="n">
        <v>0</v>
      </c>
      <c r="G62" s="12" t="n">
        <v>0.09</v>
      </c>
      <c r="H62" s="12" t="n">
        <v>0</v>
      </c>
      <c r="I62" s="12" t="n">
        <v>1000</v>
      </c>
      <c r="J62" s="12" t="n">
        <v>10000</v>
      </c>
      <c r="K62" s="13" t="n">
        <f aca="false">IFERROR(INDEX('Vitesse (calcul)'!$P$21:$P$153,MATCH($A62&amp;"|"&amp;$B62,'Vitesse (calcul)'!$A$21:$A$153,0)),"N/A")</f>
        <v>350</v>
      </c>
      <c r="L62" s="14" t="n">
        <f aca="false">IFERROR(INDEX('Vitesse (calcul)'!$S$21:$S$153,MATCH($A62&amp;"|"&amp;$B62,'Vitesse (calcul)'!$A$21:$A$153,0)),"N/A")</f>
        <v>2</v>
      </c>
      <c r="M62" s="11" t="s">
        <v>123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customFormat="false" ht="15" hidden="false" customHeight="false" outlineLevel="0" collapsed="false">
      <c r="A63" s="11" t="s">
        <v>124</v>
      </c>
      <c r="B63" s="11" t="s">
        <v>36</v>
      </c>
      <c r="C63" s="11" t="s">
        <v>97</v>
      </c>
      <c r="D63" s="11" t="s">
        <v>125</v>
      </c>
      <c r="E63" s="12" t="n">
        <v>400</v>
      </c>
      <c r="F63" s="12" t="n">
        <v>3</v>
      </c>
      <c r="G63" s="12" t="n">
        <v>0.04</v>
      </c>
      <c r="H63" s="12" t="n">
        <v>75</v>
      </c>
      <c r="I63" s="12" t="n">
        <v>200</v>
      </c>
      <c r="J63" s="12" t="n">
        <v>5000</v>
      </c>
      <c r="K63" s="13" t="n">
        <f aca="false">IFERROR(INDEX('Vitesse (calcul)'!$P$21:$P$153,MATCH($A63&amp;"|"&amp;$B63,'Vitesse (calcul)'!$A$21:$A$153,0)),"N/A")</f>
        <v>702.5</v>
      </c>
      <c r="L63" s="14" t="n">
        <f aca="false">IFERROR(INDEX('Vitesse (calcul)'!$S$21:$S$153,MATCH($A63&amp;"|"&amp;$B63,'Vitesse (calcul)'!$A$21:$A$153,0)),"N/A")</f>
        <v>2.7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7" t="n">
        <v>4</v>
      </c>
      <c r="Y63" s="17" t="n">
        <v>3</v>
      </c>
      <c r="Z63" s="17" t="n">
        <v>2</v>
      </c>
      <c r="AA63" s="11"/>
      <c r="AB63" s="11"/>
      <c r="AC63" s="11"/>
      <c r="AD63" s="11"/>
      <c r="AE63" s="11"/>
    </row>
    <row r="64" customFormat="false" ht="15" hidden="false" customHeight="false" outlineLevel="0" collapsed="false">
      <c r="A64" s="11" t="s">
        <v>126</v>
      </c>
      <c r="B64" s="11" t="s">
        <v>36</v>
      </c>
      <c r="C64" s="11" t="s">
        <v>97</v>
      </c>
      <c r="D64" s="11" t="s">
        <v>125</v>
      </c>
      <c r="E64" s="12" t="n">
        <v>400</v>
      </c>
      <c r="F64" s="12" t="n">
        <v>6.5</v>
      </c>
      <c r="G64" s="12" t="n">
        <v>0.18</v>
      </c>
      <c r="H64" s="12" t="n">
        <v>36.1111111111111</v>
      </c>
      <c r="I64" s="12" t="n">
        <v>500</v>
      </c>
      <c r="J64" s="12" t="n">
        <v>10000</v>
      </c>
      <c r="K64" s="13" t="n">
        <f aca="false">IFERROR(INDEX('Vitesse (calcul)'!$P$21:$P$153,MATCH($A64&amp;"|"&amp;$B64,'Vitesse (calcul)'!$A$21:$A$153,0)),"N/A")</f>
        <v>776.111</v>
      </c>
      <c r="L64" s="14" t="n">
        <f aca="false">IFERROR(INDEX('Vitesse (calcul)'!$S$21:$S$153,MATCH($A64&amp;"|"&amp;$B64,'Vitesse (calcul)'!$A$21:$A$153,0)),"N/A")</f>
        <v>3.1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7" t="n">
        <v>4</v>
      </c>
      <c r="Y64" s="17" t="n">
        <v>4</v>
      </c>
      <c r="Z64" s="17" t="n">
        <v>3</v>
      </c>
      <c r="AA64" s="11"/>
      <c r="AB64" s="11"/>
      <c r="AC64" s="11"/>
      <c r="AD64" s="11"/>
      <c r="AE64" s="11"/>
    </row>
    <row r="65" customFormat="false" ht="15" hidden="false" customHeight="false" outlineLevel="0" collapsed="false">
      <c r="A65" s="11" t="s">
        <v>127</v>
      </c>
      <c r="B65" s="11" t="s">
        <v>36</v>
      </c>
      <c r="C65" s="11" t="s">
        <v>97</v>
      </c>
      <c r="D65" s="11" t="s">
        <v>125</v>
      </c>
      <c r="E65" s="12" t="n">
        <v>400</v>
      </c>
      <c r="F65" s="12" t="n">
        <v>11</v>
      </c>
      <c r="G65" s="12" t="n">
        <v>0.36</v>
      </c>
      <c r="H65" s="12" t="n">
        <v>30.5555555555556</v>
      </c>
      <c r="I65" s="12" t="n">
        <v>1000</v>
      </c>
      <c r="J65" s="12" t="n">
        <v>15000</v>
      </c>
      <c r="K65" s="13" t="n">
        <f aca="false">IFERROR(INDEX('Vitesse (calcul)'!$P$21:$P$153,MATCH($A65&amp;"|"&amp;$B65,'Vitesse (calcul)'!$A$21:$A$153,0)),"N/A")</f>
        <v>786.667</v>
      </c>
      <c r="L65" s="14" t="n">
        <f aca="false">IFERROR(INDEX('Vitesse (calcul)'!$S$21:$S$153,MATCH($A65&amp;"|"&amp;$B65,'Vitesse (calcul)'!$A$21:$A$153,0)),"N/A")</f>
        <v>3.2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7" t="n">
        <v>4</v>
      </c>
      <c r="Y65" s="17" t="n">
        <v>4</v>
      </c>
      <c r="Z65" s="17" t="n">
        <v>3</v>
      </c>
      <c r="AA65" s="11"/>
      <c r="AB65" s="11"/>
      <c r="AC65" s="11"/>
      <c r="AD65" s="11"/>
      <c r="AE65" s="11"/>
    </row>
    <row r="66" customFormat="false" ht="15" hidden="false" customHeight="false" outlineLevel="0" collapsed="false">
      <c r="A66" s="11" t="s">
        <v>128</v>
      </c>
      <c r="B66" s="11" t="s">
        <v>36</v>
      </c>
      <c r="C66" s="11" t="s">
        <v>97</v>
      </c>
      <c r="D66" s="11" t="s">
        <v>98</v>
      </c>
      <c r="E66" s="12" t="n">
        <v>400</v>
      </c>
      <c r="F66" s="12" t="n">
        <v>25</v>
      </c>
      <c r="G66" s="12" t="n">
        <v>0.89</v>
      </c>
      <c r="H66" s="12" t="n">
        <v>28.0898876404494</v>
      </c>
      <c r="I66" s="12" t="n">
        <v>2000</v>
      </c>
      <c r="J66" s="12" t="n">
        <v>50000</v>
      </c>
      <c r="K66" s="13" t="n">
        <f aca="false">IFERROR(INDEX('Vitesse (calcul)'!$P$21:$P$153,MATCH($A66&amp;"|"&amp;$B66,'Vitesse (calcul)'!$A$21:$A$153,0)),"N/A")</f>
        <v>1256.389</v>
      </c>
      <c r="L66" s="14" t="n">
        <f aca="false">IFERROR(INDEX('Vitesse (calcul)'!$S$21:$S$153,MATCH($A66&amp;"|"&amp;$B66,'Vitesse (calcul)'!$A$21:$A$153,0)),"N/A")</f>
        <v>8.2</v>
      </c>
      <c r="M66" s="11" t="s">
        <v>129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7" t="n">
        <v>5</v>
      </c>
      <c r="Y66" s="17" t="n">
        <v>4</v>
      </c>
      <c r="Z66" s="17" t="n">
        <v>3</v>
      </c>
      <c r="AA66" s="11"/>
      <c r="AB66" s="11"/>
      <c r="AC66" s="11"/>
      <c r="AD66" s="11"/>
      <c r="AE66" s="11"/>
    </row>
    <row r="67" customFormat="false" ht="15" hidden="false" customHeight="false" outlineLevel="0" collapsed="false">
      <c r="A67" s="11" t="s">
        <v>130</v>
      </c>
      <c r="B67" s="11" t="s">
        <v>36</v>
      </c>
      <c r="C67" s="11" t="s">
        <v>97</v>
      </c>
      <c r="D67" s="11" t="s">
        <v>131</v>
      </c>
      <c r="E67" s="12" t="n">
        <v>3000</v>
      </c>
      <c r="F67" s="12" t="n">
        <v>1000</v>
      </c>
      <c r="G67" s="12" t="n">
        <v>8.35</v>
      </c>
      <c r="H67" s="12" t="n">
        <v>119.760479041916</v>
      </c>
      <c r="I67" s="12" t="n">
        <v>20000</v>
      </c>
      <c r="J67" s="12" t="n">
        <v>250000</v>
      </c>
      <c r="K67" s="13" t="n">
        <f aca="false">IFERROR(INDEX('Vitesse (calcul)'!$P$21:$P$153,MATCH($A67&amp;"|"&amp;$B67,'Vitesse (calcul)'!$A$21:$A$153,0)),"N/A")</f>
        <v>1430.278</v>
      </c>
      <c r="L67" s="14" t="n">
        <f aca="false">IFERROR(INDEX('Vitesse (calcul)'!$S$21:$S$153,MATCH($A67&amp;"|"&amp;$B67,'Vitesse (calcul)'!$A$21:$A$153,0)),"N/A")</f>
        <v>8.6</v>
      </c>
      <c r="M67" s="11"/>
      <c r="N67" s="11"/>
      <c r="O67" s="11"/>
      <c r="P67" s="16" t="n">
        <v>5</v>
      </c>
      <c r="Q67" s="17" t="n">
        <v>5</v>
      </c>
      <c r="R67" s="17" t="n">
        <v>5</v>
      </c>
      <c r="S67" s="17" t="n">
        <v>5</v>
      </c>
      <c r="T67" s="17" t="n">
        <v>5</v>
      </c>
      <c r="U67" s="17" t="n">
        <v>5</v>
      </c>
      <c r="V67" s="17" t="n">
        <v>4</v>
      </c>
      <c r="W67" s="17" t="n">
        <v>3</v>
      </c>
      <c r="X67" s="11"/>
      <c r="Y67" s="11"/>
      <c r="Z67" s="11"/>
      <c r="AA67" s="11"/>
      <c r="AB67" s="12" t="n">
        <v>0.1</v>
      </c>
      <c r="AC67" s="12" t="n">
        <v>4</v>
      </c>
      <c r="AD67" s="12" t="n">
        <v>5</v>
      </c>
      <c r="AE67" s="12" t="n">
        <v>2</v>
      </c>
    </row>
    <row r="68" customFormat="false" ht="15" hidden="false" customHeight="false" outlineLevel="0" collapsed="false">
      <c r="A68" s="11" t="s">
        <v>132</v>
      </c>
      <c r="B68" s="11" t="s">
        <v>36</v>
      </c>
      <c r="C68" s="11" t="s">
        <v>97</v>
      </c>
      <c r="D68" s="11" t="s">
        <v>133</v>
      </c>
      <c r="E68" s="12" t="n">
        <v>400</v>
      </c>
      <c r="F68" s="12" t="n">
        <v>20</v>
      </c>
      <c r="G68" s="12" t="n">
        <v>0.2</v>
      </c>
      <c r="H68" s="12" t="n">
        <v>100</v>
      </c>
      <c r="I68" s="12" t="n">
        <v>700</v>
      </c>
      <c r="J68" s="12" t="n">
        <v>15000</v>
      </c>
      <c r="K68" s="13" t="n">
        <f aca="false">IFERROR(INDEX('Vitesse (calcul)'!$P$21:$P$153,MATCH($A68&amp;"|"&amp;$B68,'Vitesse (calcul)'!$A$21:$A$153,0)),"N/A")</f>
        <v>1156.944</v>
      </c>
      <c r="L68" s="14" t="n">
        <f aca="false">IFERROR(INDEX('Vitesse (calcul)'!$S$21:$S$153,MATCH($A68&amp;"|"&amp;$B68,'Vitesse (calcul)'!$A$21:$A$153,0)),"N/A")</f>
        <v>7.4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7" t="n">
        <v>5</v>
      </c>
      <c r="Y68" s="17" t="n">
        <v>4</v>
      </c>
      <c r="Z68" s="17" t="n">
        <v>3</v>
      </c>
      <c r="AA68" s="11"/>
      <c r="AB68" s="11"/>
      <c r="AC68" s="11"/>
      <c r="AD68" s="11"/>
      <c r="AE68" s="11"/>
    </row>
    <row r="69" customFormat="false" ht="15" hidden="false" customHeight="false" outlineLevel="0" collapsed="false">
      <c r="A69" s="11" t="s">
        <v>134</v>
      </c>
      <c r="B69" s="11" t="s">
        <v>36</v>
      </c>
      <c r="C69" s="11" t="s">
        <v>97</v>
      </c>
      <c r="D69" s="11" t="s">
        <v>133</v>
      </c>
      <c r="E69" s="12" t="n">
        <v>1000</v>
      </c>
      <c r="F69" s="12" t="n">
        <v>45</v>
      </c>
      <c r="G69" s="12" t="n">
        <v>4</v>
      </c>
      <c r="H69" s="12" t="n">
        <v>11.25</v>
      </c>
      <c r="I69" s="12" t="n">
        <v>2000</v>
      </c>
      <c r="J69" s="12" t="n">
        <v>50000</v>
      </c>
      <c r="K69" s="13" t="n">
        <f aca="false">IFERROR(INDEX('Vitesse (calcul)'!$P$21:$P$153,MATCH($A69&amp;"|"&amp;$B69,'Vitesse (calcul)'!$A$21:$A$153,0)),"N/A")</f>
        <v>1392.69</v>
      </c>
      <c r="L69" s="14" t="n">
        <f aca="false">IFERROR(INDEX('Vitesse (calcul)'!$S$21:$S$153,MATCH($A69&amp;"|"&amp;$B69,'Vitesse (calcul)'!$A$21:$A$153,0)),"N/A")</f>
        <v>8.5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7" t="n">
        <v>5</v>
      </c>
      <c r="Y69" s="17" t="n">
        <v>5</v>
      </c>
      <c r="Z69" s="17" t="n">
        <v>4</v>
      </c>
      <c r="AA69" s="11"/>
      <c r="AB69" s="11"/>
      <c r="AC69" s="11"/>
      <c r="AD69" s="11"/>
      <c r="AE69" s="11"/>
    </row>
    <row r="70" customFormat="false" ht="15" hidden="false" customHeight="false" outlineLevel="0" collapsed="false">
      <c r="A70" s="11" t="s">
        <v>135</v>
      </c>
      <c r="B70" s="11" t="s">
        <v>36</v>
      </c>
      <c r="C70" s="11" t="s">
        <v>97</v>
      </c>
      <c r="D70" s="11" t="s">
        <v>38</v>
      </c>
      <c r="E70" s="12" t="n">
        <v>1500</v>
      </c>
      <c r="F70" s="12" t="n">
        <v>300</v>
      </c>
      <c r="G70" s="12" t="n">
        <v>1.65</v>
      </c>
      <c r="H70" s="12" t="n">
        <v>181.818181818182</v>
      </c>
      <c r="I70" s="12" t="n">
        <v>3000</v>
      </c>
      <c r="J70" s="12" t="n">
        <v>60000</v>
      </c>
      <c r="K70" s="13" t="n">
        <f aca="false">IFERROR(INDEX('Vitesse (calcul)'!$P$21:$P$153,MATCH($A70&amp;"|"&amp;$B70,'Vitesse (calcul)'!$A$21:$A$153,0)),"N/A")</f>
        <v>908.056</v>
      </c>
      <c r="L70" s="14" t="n">
        <f aca="false">IFERROR(INDEX('Vitesse (calcul)'!$S$21:$S$153,MATCH($A70&amp;"|"&amp;$B70,'Vitesse (calcul)'!$A$21:$A$153,0)),"N/A")</f>
        <v>4.9</v>
      </c>
      <c r="M70" s="11" t="s">
        <v>136</v>
      </c>
      <c r="N70" s="11"/>
      <c r="O70" s="11"/>
      <c r="P70" s="16" t="n">
        <v>5</v>
      </c>
      <c r="Q70" s="17" t="n">
        <v>5</v>
      </c>
      <c r="R70" s="17" t="n">
        <v>5</v>
      </c>
      <c r="S70" s="17" t="n">
        <v>4</v>
      </c>
      <c r="T70" s="17" t="n">
        <v>3</v>
      </c>
      <c r="U70" s="17" t="n">
        <v>4</v>
      </c>
      <c r="V70" s="17" t="n">
        <v>3</v>
      </c>
      <c r="W70" s="17" t="n">
        <v>2</v>
      </c>
      <c r="X70" s="11"/>
      <c r="Y70" s="11"/>
      <c r="Z70" s="11"/>
      <c r="AA70" s="11"/>
      <c r="AB70" s="12" t="n">
        <v>0.07</v>
      </c>
      <c r="AC70" s="12" t="n">
        <v>3</v>
      </c>
      <c r="AD70" s="12" t="n">
        <v>3</v>
      </c>
      <c r="AE70" s="12" t="n">
        <v>2</v>
      </c>
    </row>
    <row r="71" customFormat="false" ht="15" hidden="false" customHeight="false" outlineLevel="0" collapsed="false">
      <c r="A71" s="11" t="s">
        <v>137</v>
      </c>
      <c r="B71" s="11" t="s">
        <v>36</v>
      </c>
      <c r="C71" s="11" t="s">
        <v>138</v>
      </c>
      <c r="D71" s="11" t="s">
        <v>38</v>
      </c>
      <c r="E71" s="12" t="n">
        <v>200</v>
      </c>
      <c r="F71" s="12" t="n">
        <v>1500000</v>
      </c>
      <c r="G71" s="12" t="n">
        <v>15</v>
      </c>
      <c r="H71" s="12" t="n">
        <v>100000</v>
      </c>
      <c r="I71" s="12" t="n">
        <v>10000</v>
      </c>
      <c r="J71" s="12" t="n">
        <v>11000</v>
      </c>
      <c r="K71" s="13" t="n">
        <f aca="false">IFERROR(INDEX('Vitesse (calcul)'!$P$21:$P$153,MATCH($A71&amp;"|"&amp;$B71,'Vitesse (calcul)'!$A$21:$A$153,0)),"N/A")</f>
        <v>1048.110113474</v>
      </c>
      <c r="L71" s="14" t="n">
        <f aca="false">IFERROR(INDEX('Vitesse (calcul)'!$S$21:$S$153,MATCH($A71&amp;"|"&amp;$B71,'Vitesse (calcul)'!$A$21:$A$153,0)),"N/A")</f>
        <v>5.7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customFormat="false" ht="15" hidden="false" customHeight="false" outlineLevel="0" collapsed="false">
      <c r="A72" s="11" t="s">
        <v>139</v>
      </c>
      <c r="B72" s="11" t="s">
        <v>36</v>
      </c>
      <c r="C72" s="11" t="s">
        <v>138</v>
      </c>
      <c r="D72" s="11" t="s">
        <v>107</v>
      </c>
      <c r="E72" s="12" t="n">
        <v>0</v>
      </c>
      <c r="F72" s="12" t="n">
        <v>20000000</v>
      </c>
      <c r="G72" s="12" t="n">
        <v>32</v>
      </c>
      <c r="H72" s="12" t="n">
        <v>625000</v>
      </c>
      <c r="I72" s="12" t="n">
        <v>5000</v>
      </c>
      <c r="J72" s="12" t="n">
        <v>1000000</v>
      </c>
      <c r="K72" s="13" t="n">
        <f aca="false">IFERROR(INDEX('Vitesse (calcul)'!$P$21:$P$153,MATCH($A72&amp;"|"&amp;$B72,'Vitesse (calcul)'!$A$21:$A$153,0)),"N/A")</f>
        <v>308.889</v>
      </c>
      <c r="L72" s="14" t="n">
        <f aca="false">IFERROR(INDEX('Vitesse (calcul)'!$S$21:$S$153,MATCH($A72&amp;"|"&amp;$B72,'Vitesse (calcul)'!$A$21:$A$153,0)),"N/A")</f>
        <v>1.7</v>
      </c>
      <c r="M72" s="11" t="s">
        <v>140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customFormat="false" ht="15" hidden="false" customHeight="false" outlineLevel="0" collapsed="false">
      <c r="A73" s="11" t="s">
        <v>141</v>
      </c>
      <c r="B73" s="11" t="s">
        <v>36</v>
      </c>
      <c r="C73" s="11" t="s">
        <v>138</v>
      </c>
      <c r="D73" s="11" t="s">
        <v>131</v>
      </c>
      <c r="E73" s="12" t="n">
        <v>1500</v>
      </c>
      <c r="F73" s="12" t="n">
        <v>20000000</v>
      </c>
      <c r="G73" s="12" t="n">
        <v>36.349998</v>
      </c>
      <c r="H73" s="12" t="n">
        <v>550206.357645467</v>
      </c>
      <c r="I73" s="12" t="n">
        <v>20000</v>
      </c>
      <c r="J73" s="12" t="n">
        <v>250000</v>
      </c>
      <c r="K73" s="13" t="n">
        <f aca="false">IFERROR(INDEX('Vitesse (calcul)'!$P$21:$P$153,MATCH($A73&amp;"|"&amp;$B73,'Vitesse (calcul)'!$A$21:$A$153,0)),"N/A")</f>
        <v>1430.31</v>
      </c>
      <c r="L73" s="14" t="n">
        <f aca="false">IFERROR(INDEX('Vitesse (calcul)'!$S$21:$S$153,MATCH($A73&amp;"|"&amp;$B73,'Vitesse (calcul)'!$A$21:$A$153,0)),"N/A")</f>
        <v>8.7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customFormat="false" ht="15" hidden="false" customHeight="false" outlineLevel="0" collapsed="false">
      <c r="A74" s="11" t="s">
        <v>142</v>
      </c>
      <c r="B74" s="11" t="s">
        <v>36</v>
      </c>
      <c r="C74" s="11" t="s">
        <v>143</v>
      </c>
      <c r="D74" s="11" t="s">
        <v>144</v>
      </c>
      <c r="E74" s="12" t="n">
        <v>1700</v>
      </c>
      <c r="F74" s="12" t="n">
        <v>100</v>
      </c>
      <c r="G74" s="12" t="n">
        <v>0.2</v>
      </c>
      <c r="H74" s="12" t="n">
        <v>500</v>
      </c>
      <c r="I74" s="12" t="n">
        <v>10000</v>
      </c>
      <c r="J74" s="12" t="n">
        <v>40000</v>
      </c>
      <c r="K74" s="13" t="n">
        <f aca="false">IFERROR(INDEX('Vitesse (calcul)'!$P$21:$P$153,MATCH($A74&amp;"|"&amp;$B74,'Vitesse (calcul)'!$A$21:$A$153,0)),"N/A")</f>
        <v>810.833</v>
      </c>
      <c r="L74" s="14" t="n">
        <f aca="false">IFERROR(INDEX('Vitesse (calcul)'!$S$21:$S$153,MATCH($A74&amp;"|"&amp;$B74,'Vitesse (calcul)'!$A$21:$A$153,0)),"N/A")</f>
        <v>3.8</v>
      </c>
      <c r="M74" s="11" t="s">
        <v>145</v>
      </c>
      <c r="N74" s="11"/>
      <c r="O74" s="11"/>
      <c r="P74" s="17" t="n">
        <v>5</v>
      </c>
      <c r="Q74" s="17" t="n">
        <v>5</v>
      </c>
      <c r="R74" s="17" t="n">
        <v>4</v>
      </c>
      <c r="S74" s="17" t="n">
        <v>3</v>
      </c>
      <c r="T74" s="17" t="n">
        <v>0</v>
      </c>
      <c r="U74" s="17" t="n">
        <v>4</v>
      </c>
      <c r="V74" s="17" t="n">
        <v>2</v>
      </c>
      <c r="W74" s="17" t="n">
        <v>0</v>
      </c>
      <c r="X74" s="11"/>
      <c r="Y74" s="11"/>
      <c r="Z74" s="11"/>
      <c r="AA74" s="11"/>
      <c r="AB74" s="12" t="n">
        <v>0.02</v>
      </c>
      <c r="AC74" s="12" t="n">
        <v>3</v>
      </c>
      <c r="AD74" s="12" t="n">
        <v>0</v>
      </c>
      <c r="AE74" s="12" t="n">
        <v>0</v>
      </c>
    </row>
    <row r="75" customFormat="false" ht="15" hidden="false" customHeight="false" outlineLevel="0" collapsed="false">
      <c r="A75" s="11" t="s">
        <v>146</v>
      </c>
      <c r="B75" s="11" t="s">
        <v>36</v>
      </c>
      <c r="C75" s="11" t="s">
        <v>147</v>
      </c>
      <c r="D75" s="11" t="s">
        <v>148</v>
      </c>
      <c r="E75" s="12" t="n">
        <v>800</v>
      </c>
      <c r="F75" s="12" t="n">
        <v>2.5</v>
      </c>
      <c r="G75" s="12" t="n">
        <v>0.04</v>
      </c>
      <c r="H75" s="12" t="n">
        <v>62.5</v>
      </c>
      <c r="I75" s="12" t="n">
        <v>500</v>
      </c>
      <c r="J75" s="12" t="n">
        <v>6000</v>
      </c>
      <c r="K75" s="13" t="n">
        <f aca="false">IFERROR(INDEX('Vitesse (calcul)'!$P$21:$P$153,MATCH($A75&amp;"|"&amp;$B75,'Vitesse (calcul)'!$A$21:$A$153,0)),"N/A")</f>
        <v>745.833</v>
      </c>
      <c r="L75" s="14" t="n">
        <f aca="false">IFERROR(INDEX('Vitesse (calcul)'!$S$21:$S$153,MATCH($A75&amp;"|"&amp;$B75,'Vitesse (calcul)'!$A$21:$A$153,0)),"N/A")</f>
        <v>2.8</v>
      </c>
      <c r="M75" s="11"/>
      <c r="N75" s="11"/>
      <c r="O75" s="11"/>
      <c r="P75" s="17" t="n">
        <v>5</v>
      </c>
      <c r="Q75" s="17" t="n">
        <v>3</v>
      </c>
      <c r="R75" s="17" t="n">
        <v>2</v>
      </c>
      <c r="S75" s="17" t="n">
        <v>1</v>
      </c>
      <c r="T75" s="17" t="n">
        <v>0</v>
      </c>
      <c r="U75" s="17" t="n">
        <v>2</v>
      </c>
      <c r="V75" s="17" t="n">
        <v>1</v>
      </c>
      <c r="W75" s="17" t="n">
        <v>0</v>
      </c>
      <c r="X75" s="11"/>
      <c r="Y75" s="11"/>
      <c r="Z75" s="11"/>
      <c r="AA75" s="11"/>
      <c r="AB75" s="12" t="n">
        <v>0.01</v>
      </c>
      <c r="AC75" s="12" t="n">
        <v>1</v>
      </c>
      <c r="AD75" s="12" t="n">
        <v>1</v>
      </c>
      <c r="AE75" s="12" t="n">
        <v>0</v>
      </c>
    </row>
    <row r="76" customFormat="false" ht="15" hidden="false" customHeight="false" outlineLevel="0" collapsed="false">
      <c r="A76" s="11" t="s">
        <v>149</v>
      </c>
      <c r="B76" s="11" t="s">
        <v>36</v>
      </c>
      <c r="C76" s="11" t="s">
        <v>147</v>
      </c>
      <c r="D76" s="11" t="s">
        <v>148</v>
      </c>
      <c r="E76" s="12" t="n">
        <v>1700</v>
      </c>
      <c r="F76" s="12" t="n">
        <v>10</v>
      </c>
      <c r="G76" s="12" t="n">
        <v>0.09</v>
      </c>
      <c r="H76" s="12" t="n">
        <v>111.111111111111</v>
      </c>
      <c r="I76" s="12" t="n">
        <v>500</v>
      </c>
      <c r="J76" s="12" t="n">
        <v>8000</v>
      </c>
      <c r="K76" s="13" t="n">
        <f aca="false">IFERROR(INDEX('Vitesse (calcul)'!$P$21:$P$153,MATCH($A76&amp;"|"&amp;$B76,'Vitesse (calcul)'!$A$21:$A$153,0)),"N/A")</f>
        <v>753.772662014945</v>
      </c>
      <c r="L76" s="14" t="n">
        <f aca="false">IFERROR(INDEX('Vitesse (calcul)'!$S$21:$S$153,MATCH($A76&amp;"|"&amp;$B76,'Vitesse (calcul)'!$A$21:$A$153,0)),"N/A")</f>
        <v>2.9</v>
      </c>
      <c r="M76" s="11"/>
      <c r="N76" s="11"/>
      <c r="O76" s="11"/>
      <c r="P76" s="17" t="n">
        <v>5</v>
      </c>
      <c r="Q76" s="17" t="n">
        <v>5</v>
      </c>
      <c r="R76" s="17" t="n">
        <v>3</v>
      </c>
      <c r="S76" s="17" t="n">
        <v>1</v>
      </c>
      <c r="T76" s="17" t="n">
        <v>0</v>
      </c>
      <c r="U76" s="17" t="n">
        <v>3</v>
      </c>
      <c r="V76" s="17" t="n">
        <v>1</v>
      </c>
      <c r="W76" s="17" t="n">
        <v>0</v>
      </c>
      <c r="X76" s="11"/>
      <c r="Y76" s="11"/>
      <c r="Z76" s="11"/>
      <c r="AA76" s="11"/>
      <c r="AB76" s="12" t="n">
        <v>0.01</v>
      </c>
      <c r="AC76" s="12" t="n">
        <v>2</v>
      </c>
      <c r="AD76" s="12" t="n">
        <v>1</v>
      </c>
      <c r="AE76" s="12" t="n">
        <v>0</v>
      </c>
    </row>
    <row r="77" customFormat="false" ht="15" hidden="false" customHeight="false" outlineLevel="0" collapsed="false">
      <c r="A77" s="11" t="s">
        <v>150</v>
      </c>
      <c r="B77" s="11" t="s">
        <v>36</v>
      </c>
      <c r="C77" s="11" t="s">
        <v>151</v>
      </c>
      <c r="D77" s="11"/>
      <c r="E77" s="11"/>
      <c r="F77" s="11"/>
      <c r="G77" s="12" t="n">
        <v>0</v>
      </c>
      <c r="H77" s="11"/>
      <c r="I77" s="11"/>
      <c r="J77" s="12" t="n">
        <v>15000</v>
      </c>
      <c r="K77" s="13" t="str">
        <f aca="false">IFERROR(INDEX('Vitesse (calcul)'!$P$21:$P$153,MATCH($A77&amp;"|"&amp;$B77,'Vitesse (calcul)'!$A$21:$A$153,0)),"N/A")</f>
        <v>N/A</v>
      </c>
      <c r="L77" s="15" t="str">
        <f aca="false">IFERROR(INDEX('Vitesse (calcul)'!$S$21:$S$153,MATCH($A77&amp;"|"&amp;$B77,'Vitesse (calcul)'!$A$21:$A$153,0)),"N/A")</f>
        <v>N/A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customFormat="false" ht="15" hidden="false" customHeight="false" outlineLevel="0" collapsed="false">
      <c r="A78" s="11" t="s">
        <v>152</v>
      </c>
      <c r="B78" s="11" t="s">
        <v>36</v>
      </c>
      <c r="C78" s="11" t="s">
        <v>151</v>
      </c>
      <c r="D78" s="11"/>
      <c r="E78" s="11"/>
      <c r="F78" s="11"/>
      <c r="G78" s="12" t="n">
        <v>0</v>
      </c>
      <c r="H78" s="11"/>
      <c r="I78" s="11"/>
      <c r="J78" s="12" t="n">
        <v>4000</v>
      </c>
      <c r="K78" s="13" t="str">
        <f aca="false">IFERROR(INDEX('Vitesse (calcul)'!$P$21:$P$153,MATCH($A78&amp;"|"&amp;$B78,'Vitesse (calcul)'!$A$21:$A$153,0)),"N/A")</f>
        <v>N/A</v>
      </c>
      <c r="L78" s="15" t="str">
        <f aca="false">IFERROR(INDEX('Vitesse (calcul)'!$S$21:$S$153,MATCH($A78&amp;"|"&amp;$B78,'Vitesse (calcul)'!$A$21:$A$153,0)),"N/A")</f>
        <v>N/A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customFormat="false" ht="15" hidden="false" customHeight="false" outlineLevel="0" collapsed="false">
      <c r="A79" s="11" t="s">
        <v>153</v>
      </c>
      <c r="B79" s="11" t="s">
        <v>36</v>
      </c>
      <c r="C79" s="11" t="s">
        <v>151</v>
      </c>
      <c r="D79" s="11"/>
      <c r="E79" s="11"/>
      <c r="F79" s="11"/>
      <c r="G79" s="12" t="n">
        <v>0</v>
      </c>
      <c r="H79" s="11"/>
      <c r="I79" s="11"/>
      <c r="J79" s="12" t="n">
        <v>8000</v>
      </c>
      <c r="K79" s="13" t="str">
        <f aca="false">IFERROR(INDEX('Vitesse (calcul)'!$P$21:$P$153,MATCH($A79&amp;"|"&amp;$B79,'Vitesse (calcul)'!$A$21:$A$153,0)),"N/A")</f>
        <v>N/A</v>
      </c>
      <c r="L79" s="15" t="str">
        <f aca="false">IFERROR(INDEX('Vitesse (calcul)'!$S$21:$S$153,MATCH($A79&amp;"|"&amp;$B79,'Vitesse (calcul)'!$A$21:$A$153,0)),"N/A")</f>
        <v>N/A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customFormat="false" ht="15" hidden="false" customHeight="false" outlineLevel="0" collapsed="false">
      <c r="A80" s="11" t="s">
        <v>154</v>
      </c>
      <c r="B80" s="11" t="s">
        <v>36</v>
      </c>
      <c r="C80" s="11" t="s">
        <v>151</v>
      </c>
      <c r="D80" s="11"/>
      <c r="E80" s="11"/>
      <c r="F80" s="11"/>
      <c r="G80" s="12" t="n">
        <v>0</v>
      </c>
      <c r="H80" s="11"/>
      <c r="I80" s="11"/>
      <c r="J80" s="11"/>
      <c r="K80" s="18" t="str">
        <f aca="false">IFERROR(INDEX('Vitesse (calcul)'!$P$21:$P$153,MATCH($A80&amp;"|"&amp;$B80,'Vitesse (calcul)'!$A$21:$A$153,0)),"N/A")</f>
        <v>N/A</v>
      </c>
      <c r="L80" s="15" t="str">
        <f aca="false">IFERROR(INDEX('Vitesse (calcul)'!$S$21:$S$153,MATCH($A80&amp;"|"&amp;$B80,'Vitesse (calcul)'!$A$21:$A$153,0)),"N/A")</f>
        <v>N/A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customFormat="false" ht="15" hidden="false" customHeight="false" outlineLevel="0" collapsed="false">
      <c r="A81" s="11" t="s">
        <v>155</v>
      </c>
      <c r="B81" s="11" t="s">
        <v>36</v>
      </c>
      <c r="C81" s="11" t="s">
        <v>151</v>
      </c>
      <c r="D81" s="11"/>
      <c r="E81" s="12" t="n">
        <v>1</v>
      </c>
      <c r="F81" s="11"/>
      <c r="G81" s="12" t="n">
        <v>1E-006</v>
      </c>
      <c r="H81" s="11"/>
      <c r="I81" s="11"/>
      <c r="J81" s="12" t="n">
        <v>2000</v>
      </c>
      <c r="K81" s="13" t="str">
        <f aca="false">IFERROR(INDEX('Vitesse (calcul)'!$P$21:$P$153,MATCH($A81&amp;"|"&amp;$B81,'Vitesse (calcul)'!$A$21:$A$153,0)),"N/A")</f>
        <v>N/A</v>
      </c>
      <c r="L81" s="15" t="str">
        <f aca="false">IFERROR(INDEX('Vitesse (calcul)'!$S$21:$S$153,MATCH($A81&amp;"|"&amp;$B81,'Vitesse (calcul)'!$A$21:$A$153,0)),"N/A")</f>
        <v>N/A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customFormat="false" ht="15" hidden="false" customHeight="false" outlineLevel="0" collapsed="false">
      <c r="A82" s="11" t="s">
        <v>156</v>
      </c>
      <c r="B82" s="11" t="s">
        <v>36</v>
      </c>
      <c r="C82" s="11" t="s">
        <v>151</v>
      </c>
      <c r="D82" s="11"/>
      <c r="E82" s="12" t="n">
        <v>1</v>
      </c>
      <c r="F82" s="11"/>
      <c r="G82" s="12" t="n">
        <v>0</v>
      </c>
      <c r="H82" s="11"/>
      <c r="I82" s="11"/>
      <c r="J82" s="12" t="n">
        <v>2000</v>
      </c>
      <c r="K82" s="13" t="str">
        <f aca="false">IFERROR(INDEX('Vitesse (calcul)'!$P$21:$P$153,MATCH($A82&amp;"|"&amp;$B82,'Vitesse (calcul)'!$A$21:$A$153,0)),"N/A")</f>
        <v>N/A</v>
      </c>
      <c r="L82" s="15" t="str">
        <f aca="false">IFERROR(INDEX('Vitesse (calcul)'!$S$21:$S$153,MATCH($A82&amp;"|"&amp;$B82,'Vitesse (calcul)'!$A$21:$A$153,0)),"N/A")</f>
        <v>N/A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customFormat="false" ht="15" hidden="false" customHeight="false" outlineLevel="0" collapsed="false">
      <c r="A83" s="11" t="s">
        <v>157</v>
      </c>
      <c r="B83" s="11" t="s">
        <v>158</v>
      </c>
      <c r="C83" s="11" t="s">
        <v>64</v>
      </c>
      <c r="D83" s="11"/>
      <c r="E83" s="12" t="n">
        <v>400</v>
      </c>
      <c r="F83" s="12" t="n">
        <v>0.01</v>
      </c>
      <c r="G83" s="12" t="n">
        <v>3E-005</v>
      </c>
      <c r="H83" s="12" t="n">
        <v>333.333333333333</v>
      </c>
      <c r="I83" s="11"/>
      <c r="J83" s="12" t="n">
        <v>1800</v>
      </c>
      <c r="K83" s="13" t="n">
        <f aca="false">IFERROR(INDEX('Vitesse (calcul)'!$P$21:$P$153,MATCH($A83&amp;"|"&amp;$B83,'Vitesse (calcul)'!$A$21:$A$153,0)),"N/A")</f>
        <v>1100</v>
      </c>
      <c r="L83" s="15" t="n">
        <f aca="false">IFERROR(INDEX('Vitesse (calcul)'!$S$21:$S$153,MATCH($A83&amp;"|"&amp;$B83,'Vitesse (calcul)'!$A$21:$A$153,0)),"N/A")</f>
        <v>7.1</v>
      </c>
      <c r="M83" s="11"/>
      <c r="N83" s="11"/>
      <c r="O83" s="11"/>
      <c r="P83" s="17" t="n">
        <v>3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1</v>
      </c>
      <c r="Y83" s="17" t="n">
        <v>0</v>
      </c>
      <c r="Z83" s="17" t="n">
        <v>0</v>
      </c>
      <c r="AA83" s="11"/>
      <c r="AB83" s="11"/>
      <c r="AC83" s="11"/>
      <c r="AD83" s="11"/>
      <c r="AE83" s="11"/>
    </row>
    <row r="84" customFormat="false" ht="15" hidden="false" customHeight="false" outlineLevel="0" collapsed="false">
      <c r="A84" s="11" t="s">
        <v>45</v>
      </c>
      <c r="B84" s="11" t="s">
        <v>159</v>
      </c>
      <c r="C84" s="11" t="s">
        <v>43</v>
      </c>
      <c r="D84" s="11" t="s">
        <v>44</v>
      </c>
      <c r="E84" s="12" t="n">
        <v>0</v>
      </c>
      <c r="F84" s="12" t="n">
        <v>0</v>
      </c>
      <c r="G84" s="12" t="n">
        <v>0.36</v>
      </c>
      <c r="H84" s="12" t="n">
        <v>0</v>
      </c>
      <c r="I84" s="11"/>
      <c r="J84" s="12" t="n">
        <v>5000</v>
      </c>
      <c r="K84" s="13" t="str">
        <f aca="false">IFERROR(INDEX('Vitesse (calcul)'!$P$21:$P$153,MATCH($A84&amp;"|"&amp;$B84,'Vitesse (calcul)'!$A$21:$A$153,0)),"N/A")</f>
        <v>N/A</v>
      </c>
      <c r="L84" s="15" t="str">
        <f aca="false">IFERROR(INDEX('Vitesse (calcul)'!$S$21:$S$153,MATCH($A84&amp;"|"&amp;$B84,'Vitesse (calcul)'!$A$21:$A$153,0)),"N/A")</f>
        <v>N/A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customFormat="false" ht="15" hidden="false" customHeight="false" outlineLevel="0" collapsed="false">
      <c r="A85" s="11" t="s">
        <v>70</v>
      </c>
      <c r="B85" s="11" t="s">
        <v>159</v>
      </c>
      <c r="C85" s="11" t="s">
        <v>64</v>
      </c>
      <c r="D85" s="11"/>
      <c r="E85" s="12" t="n">
        <v>400</v>
      </c>
      <c r="F85" s="12" t="n">
        <v>0.01</v>
      </c>
      <c r="G85" s="12" t="n">
        <v>3E-005</v>
      </c>
      <c r="H85" s="12" t="n">
        <v>333.333333333333</v>
      </c>
      <c r="I85" s="11"/>
      <c r="J85" s="12" t="n">
        <v>1800</v>
      </c>
      <c r="K85" s="13" t="n">
        <f aca="false">IFERROR(INDEX('Vitesse (calcul)'!$P$21:$P$153,MATCH($A85&amp;"|"&amp;$B85,'Vitesse (calcul)'!$A$21:$A$153,0)),"N/A")</f>
        <v>1000</v>
      </c>
      <c r="L85" s="15" t="n">
        <f aca="false">IFERROR(INDEX('Vitesse (calcul)'!$S$21:$S$153,MATCH($A85&amp;"|"&amp;$B85,'Vitesse (calcul)'!$A$21:$A$153,0)),"N/A")</f>
        <v>5.4</v>
      </c>
      <c r="M85" s="11"/>
      <c r="N85" s="11"/>
      <c r="O85" s="11"/>
      <c r="P85" s="17" t="n">
        <v>3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1</v>
      </c>
      <c r="Y85" s="17" t="n">
        <v>0</v>
      </c>
      <c r="Z85" s="17" t="n">
        <v>0</v>
      </c>
      <c r="AA85" s="11"/>
      <c r="AB85" s="11"/>
      <c r="AC85" s="11"/>
      <c r="AD85" s="11"/>
      <c r="AE85" s="11"/>
    </row>
    <row r="86" customFormat="false" ht="15" hidden="false" customHeight="false" outlineLevel="0" collapsed="false">
      <c r="A86" s="11" t="s">
        <v>160</v>
      </c>
      <c r="B86" s="11" t="s">
        <v>161</v>
      </c>
      <c r="C86" s="11" t="s">
        <v>64</v>
      </c>
      <c r="D86" s="11"/>
      <c r="E86" s="12" t="n">
        <v>400</v>
      </c>
      <c r="F86" s="12" t="n">
        <v>0.01</v>
      </c>
      <c r="G86" s="12" t="n">
        <v>3E-005</v>
      </c>
      <c r="H86" s="12" t="n">
        <v>333.333333333333</v>
      </c>
      <c r="I86" s="11"/>
      <c r="J86" s="12" t="n">
        <v>2000</v>
      </c>
      <c r="K86" s="13" t="n">
        <f aca="false">IFERROR(INDEX('Vitesse (calcul)'!$P$21:$P$153,MATCH($A86&amp;"|"&amp;$B86,'Vitesse (calcul)'!$A$21:$A$153,0)),"N/A")</f>
        <v>1250</v>
      </c>
      <c r="L86" s="15" t="n">
        <f aca="false">IFERROR(INDEX('Vitesse (calcul)'!$S$21:$S$153,MATCH($A86&amp;"|"&amp;$B86,'Vitesse (calcul)'!$A$21:$A$153,0)),"N/A")</f>
        <v>8.1</v>
      </c>
      <c r="M86" s="11"/>
      <c r="N86" s="11"/>
      <c r="O86" s="11"/>
      <c r="P86" s="17" t="n">
        <v>3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1</v>
      </c>
      <c r="Y86" s="17" t="n">
        <v>0</v>
      </c>
      <c r="Z86" s="17" t="n">
        <v>0</v>
      </c>
      <c r="AA86" s="11"/>
      <c r="AB86" s="11"/>
      <c r="AC86" s="11"/>
      <c r="AD86" s="11"/>
      <c r="AE86" s="11"/>
    </row>
    <row r="87" customFormat="false" ht="15" hidden="false" customHeight="false" outlineLevel="0" collapsed="false">
      <c r="A87" s="11" t="s">
        <v>162</v>
      </c>
      <c r="B87" s="11" t="s">
        <v>161</v>
      </c>
      <c r="C87" s="11" t="s">
        <v>64</v>
      </c>
      <c r="D87" s="11"/>
      <c r="E87" s="12" t="n">
        <v>400</v>
      </c>
      <c r="F87" s="12" t="n">
        <v>0.01</v>
      </c>
      <c r="G87" s="12" t="n">
        <v>3E-005</v>
      </c>
      <c r="H87" s="12" t="n">
        <v>333.333333333333</v>
      </c>
      <c r="I87" s="11"/>
      <c r="J87" s="12" t="n">
        <v>2000</v>
      </c>
      <c r="K87" s="13" t="n">
        <f aca="false">IFERROR(INDEX('Vitesse (calcul)'!$P$21:$P$153,MATCH($A87&amp;"|"&amp;$B87,'Vitesse (calcul)'!$A$21:$A$153,0)),"N/A")</f>
        <v>1250</v>
      </c>
      <c r="L87" s="15" t="n">
        <f aca="false">IFERROR(INDEX('Vitesse (calcul)'!$S$21:$S$153,MATCH($A87&amp;"|"&amp;$B87,'Vitesse (calcul)'!$A$21:$A$153,0)),"N/A")</f>
        <v>8.1</v>
      </c>
      <c r="M87" s="11"/>
      <c r="N87" s="11"/>
      <c r="O87" s="11"/>
      <c r="P87" s="17" t="n">
        <v>3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1</v>
      </c>
      <c r="Y87" s="17" t="n">
        <v>0</v>
      </c>
      <c r="Z87" s="17" t="n">
        <v>0</v>
      </c>
      <c r="AA87" s="11"/>
      <c r="AB87" s="11"/>
      <c r="AC87" s="11"/>
      <c r="AD87" s="11"/>
      <c r="AE87" s="11"/>
    </row>
    <row r="88" customFormat="false" ht="15" hidden="false" customHeight="false" outlineLevel="0" collapsed="false">
      <c r="A88" s="11" t="s">
        <v>163</v>
      </c>
      <c r="B88" s="11" t="s">
        <v>161</v>
      </c>
      <c r="C88" s="11" t="s">
        <v>64</v>
      </c>
      <c r="D88" s="11"/>
      <c r="E88" s="12" t="n">
        <v>700</v>
      </c>
      <c r="F88" s="12" t="n">
        <v>0.12</v>
      </c>
      <c r="G88" s="12" t="n">
        <v>0.00012</v>
      </c>
      <c r="H88" s="12" t="n">
        <v>1000</v>
      </c>
      <c r="I88" s="11"/>
      <c r="J88" s="12" t="n">
        <v>3000</v>
      </c>
      <c r="K88" s="13" t="n">
        <f aca="false">IFERROR(INDEX('Vitesse (calcul)'!$P$21:$P$153,MATCH($A88&amp;"|"&amp;$B88,'Vitesse (calcul)'!$A$21:$A$153,0)),"N/A")</f>
        <v>1175</v>
      </c>
      <c r="L88" s="15" t="n">
        <f aca="false">IFERROR(INDEX('Vitesse (calcul)'!$S$21:$S$153,MATCH($A88&amp;"|"&amp;$B88,'Vitesse (calcul)'!$A$21:$A$153,0)),"N/A")</f>
        <v>7.7</v>
      </c>
      <c r="M88" s="11"/>
      <c r="N88" s="11"/>
      <c r="O88" s="11"/>
      <c r="P88" s="17" t="n">
        <v>4</v>
      </c>
      <c r="Q88" s="17" t="n">
        <v>2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1</v>
      </c>
      <c r="Y88" s="17" t="n">
        <v>1</v>
      </c>
      <c r="Z88" s="17" t="n">
        <v>0</v>
      </c>
      <c r="AA88" s="11"/>
      <c r="AB88" s="11"/>
      <c r="AC88" s="11"/>
      <c r="AD88" s="11"/>
      <c r="AE88" s="11"/>
    </row>
    <row r="89" customFormat="false" ht="15" hidden="false" customHeight="false" outlineLevel="0" collapsed="false">
      <c r="A89" s="11" t="s">
        <v>164</v>
      </c>
      <c r="B89" s="11" t="s">
        <v>161</v>
      </c>
      <c r="C89" s="11" t="s">
        <v>97</v>
      </c>
      <c r="D89" s="11" t="s">
        <v>98</v>
      </c>
      <c r="E89" s="12" t="n">
        <v>600</v>
      </c>
      <c r="F89" s="12" t="n">
        <v>80</v>
      </c>
      <c r="G89" s="12" t="n">
        <v>5</v>
      </c>
      <c r="H89" s="12" t="n">
        <v>16</v>
      </c>
      <c r="I89" s="12" t="n">
        <v>2000</v>
      </c>
      <c r="J89" s="12" t="n">
        <v>100000</v>
      </c>
      <c r="K89" s="13" t="n">
        <f aca="false">IFERROR(INDEX('Vitesse (calcul)'!$P$21:$P$153,MATCH($A89&amp;"|"&amp;$B89,'Vitesse (calcul)'!$A$21:$A$153,0)),"N/A")</f>
        <v>2000</v>
      </c>
      <c r="L89" s="14" t="n">
        <f aca="false">IFERROR(INDEX('Vitesse (calcul)'!$S$21:$S$153,MATCH($A89&amp;"|"&amp;$B89,'Vitesse (calcul)'!$A$21:$A$153,0)),"N/A")</f>
        <v>9.5</v>
      </c>
      <c r="M89" s="11" t="s">
        <v>165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7" t="n">
        <v>5</v>
      </c>
      <c r="Y89" s="17" t="n">
        <v>5</v>
      </c>
      <c r="Z89" s="17" t="n">
        <v>4</v>
      </c>
      <c r="AA89" s="11"/>
      <c r="AB89" s="11"/>
      <c r="AC89" s="11"/>
      <c r="AD89" s="11"/>
      <c r="AE89" s="11"/>
    </row>
    <row r="90" customFormat="false" ht="15" hidden="false" customHeight="false" outlineLevel="0" collapsed="false">
      <c r="A90" s="11" t="s">
        <v>166</v>
      </c>
      <c r="B90" s="11" t="s">
        <v>161</v>
      </c>
      <c r="C90" s="11" t="s">
        <v>97</v>
      </c>
      <c r="D90" s="11" t="s">
        <v>133</v>
      </c>
      <c r="E90" s="12" t="n">
        <v>400</v>
      </c>
      <c r="F90" s="12" t="n">
        <v>50</v>
      </c>
      <c r="G90" s="12" t="n">
        <v>0.3</v>
      </c>
      <c r="H90" s="12" t="n">
        <v>166.666666666667</v>
      </c>
      <c r="I90" s="12" t="n">
        <v>700</v>
      </c>
      <c r="J90" s="12" t="n">
        <v>25000</v>
      </c>
      <c r="K90" s="13" t="n">
        <f aca="false">IFERROR(INDEX('Vitesse (calcul)'!$P$21:$P$153,MATCH($A90&amp;"|"&amp;$B90,'Vitesse (calcul)'!$A$21:$A$153,0)),"N/A")</f>
        <v>1283.86033348637</v>
      </c>
      <c r="L90" s="14" t="n">
        <f aca="false">IFERROR(INDEX('Vitesse (calcul)'!$S$21:$S$153,MATCH($A90&amp;"|"&amp;$B90,'Vitesse (calcul)'!$A$21:$A$153,0)),"N/A")</f>
        <v>8.4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7" t="n">
        <v>5</v>
      </c>
      <c r="Y90" s="17" t="n">
        <v>5</v>
      </c>
      <c r="Z90" s="17" t="n">
        <v>4</v>
      </c>
      <c r="AA90" s="11"/>
      <c r="AB90" s="11"/>
      <c r="AC90" s="11"/>
      <c r="AD90" s="11"/>
      <c r="AE90" s="11"/>
    </row>
    <row r="91" customFormat="false" ht="15" hidden="false" customHeight="false" outlineLevel="0" collapsed="false">
      <c r="A91" s="11" t="s">
        <v>167</v>
      </c>
      <c r="B91" s="11" t="s">
        <v>161</v>
      </c>
      <c r="C91" s="11" t="s">
        <v>151</v>
      </c>
      <c r="D91" s="11"/>
      <c r="E91" s="11"/>
      <c r="F91" s="11"/>
      <c r="G91" s="12" t="n">
        <v>0</v>
      </c>
      <c r="H91" s="11"/>
      <c r="I91" s="11"/>
      <c r="J91" s="12" t="n">
        <v>15000</v>
      </c>
      <c r="K91" s="13" t="str">
        <f aca="false">IFERROR(INDEX('Vitesse (calcul)'!$P$21:$P$153,MATCH($A91&amp;"|"&amp;$B91,'Vitesse (calcul)'!$A$21:$A$153,0)),"N/A")</f>
        <v>N/A</v>
      </c>
      <c r="L91" s="15" t="str">
        <f aca="false">IFERROR(INDEX('Vitesse (calcul)'!$S$21:$S$153,MATCH($A91&amp;"|"&amp;$B91,'Vitesse (calcul)'!$A$21:$A$153,0)),"N/A")</f>
        <v>N/A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customFormat="false" ht="15" hidden="false" customHeight="false" outlineLevel="0" collapsed="false">
      <c r="A92" s="11" t="s">
        <v>168</v>
      </c>
      <c r="B92" s="11" t="s">
        <v>169</v>
      </c>
      <c r="C92" s="11" t="s">
        <v>64</v>
      </c>
      <c r="D92" s="11"/>
      <c r="E92" s="12" t="n">
        <v>1850</v>
      </c>
      <c r="F92" s="12" t="n">
        <v>4</v>
      </c>
      <c r="G92" s="12" t="n">
        <v>0.003</v>
      </c>
      <c r="H92" s="12" t="n">
        <v>1333.33333333333</v>
      </c>
      <c r="I92" s="11"/>
      <c r="J92" s="12" t="n">
        <v>4500</v>
      </c>
      <c r="K92" s="13" t="n">
        <f aca="false">IFERROR(INDEX('Vitesse (calcul)'!$P$21:$P$153,MATCH($A92&amp;"|"&amp;$B92,'Vitesse (calcul)'!$A$21:$A$153,0)),"N/A")</f>
        <v>1865</v>
      </c>
      <c r="L92" s="15" t="n">
        <f aca="false">IFERROR(INDEX('Vitesse (calcul)'!$S$21:$S$153,MATCH($A92&amp;"|"&amp;$B92,'Vitesse (calcul)'!$A$21:$A$153,0)),"N/A")</f>
        <v>8.9</v>
      </c>
      <c r="M92" s="11"/>
      <c r="N92" s="11"/>
      <c r="O92" s="11"/>
      <c r="P92" s="17" t="n">
        <v>5</v>
      </c>
      <c r="Q92" s="17" t="n">
        <v>5</v>
      </c>
      <c r="R92" s="17" t="n">
        <v>2</v>
      </c>
      <c r="S92" s="17" t="n">
        <v>1</v>
      </c>
      <c r="T92" s="17" t="n">
        <v>0</v>
      </c>
      <c r="U92" s="17" t="n">
        <v>2</v>
      </c>
      <c r="V92" s="17" t="n">
        <v>1</v>
      </c>
      <c r="W92" s="17" t="n">
        <v>0</v>
      </c>
      <c r="X92" s="11"/>
      <c r="Y92" s="11"/>
      <c r="Z92" s="11"/>
      <c r="AA92" s="11"/>
      <c r="AB92" s="11"/>
      <c r="AC92" s="11"/>
      <c r="AD92" s="11"/>
      <c r="AE92" s="11"/>
    </row>
    <row r="93" customFormat="false" ht="15" hidden="false" customHeight="false" outlineLevel="0" collapsed="false">
      <c r="A93" s="11" t="s">
        <v>170</v>
      </c>
      <c r="B93" s="11" t="s">
        <v>169</v>
      </c>
      <c r="C93" s="11" t="s">
        <v>64</v>
      </c>
      <c r="D93" s="11"/>
      <c r="E93" s="12" t="n">
        <v>725</v>
      </c>
      <c r="F93" s="12" t="n">
        <v>1</v>
      </c>
      <c r="G93" s="12" t="n">
        <v>0.015</v>
      </c>
      <c r="H93" s="12" t="n">
        <v>66.6666666666667</v>
      </c>
      <c r="I93" s="11"/>
      <c r="J93" s="12" t="n">
        <v>30000</v>
      </c>
      <c r="K93" s="13" t="n">
        <f aca="false">IFERROR(INDEX('Vitesse (calcul)'!$P$21:$P$153,MATCH($A93&amp;"|"&amp;$B93,'Vitesse (calcul)'!$A$21:$A$153,0)),"N/A")</f>
        <v>820</v>
      </c>
      <c r="L93" s="15" t="n">
        <f aca="false">IFERROR(INDEX('Vitesse (calcul)'!$S$21:$S$153,MATCH($A93&amp;"|"&amp;$B93,'Vitesse (calcul)'!$A$21:$A$153,0)),"N/A")</f>
        <v>3.8</v>
      </c>
      <c r="M93" s="11"/>
      <c r="N93" s="11"/>
      <c r="O93" s="11"/>
      <c r="P93" s="17" t="n">
        <v>4</v>
      </c>
      <c r="Q93" s="17" t="n">
        <v>3</v>
      </c>
      <c r="R93" s="17" t="n">
        <v>1</v>
      </c>
      <c r="S93" s="17" t="n">
        <v>1</v>
      </c>
      <c r="T93" s="17" t="n">
        <v>0</v>
      </c>
      <c r="U93" s="17" t="n">
        <v>1</v>
      </c>
      <c r="V93" s="17" t="n">
        <v>0</v>
      </c>
      <c r="W93" s="17" t="n">
        <v>0</v>
      </c>
      <c r="X93" s="17" t="n">
        <v>3</v>
      </c>
      <c r="Y93" s="11"/>
      <c r="Z93" s="11"/>
      <c r="AA93" s="11"/>
      <c r="AB93" s="11"/>
      <c r="AC93" s="11"/>
      <c r="AD93" s="11"/>
      <c r="AE93" s="11"/>
    </row>
    <row r="94" customFormat="false" ht="15" hidden="false" customHeight="false" outlineLevel="0" collapsed="false">
      <c r="A94" s="11" t="s">
        <v>171</v>
      </c>
      <c r="B94" s="11" t="s">
        <v>169</v>
      </c>
      <c r="C94" s="11" t="s">
        <v>64</v>
      </c>
      <c r="D94" s="11"/>
      <c r="E94" s="12" t="n">
        <v>2650</v>
      </c>
      <c r="F94" s="12" t="n">
        <v>10</v>
      </c>
      <c r="G94" s="12" t="n">
        <v>0.03</v>
      </c>
      <c r="H94" s="12" t="n">
        <v>333.333333333333</v>
      </c>
      <c r="I94" s="11"/>
      <c r="J94" s="12" t="n">
        <v>20000</v>
      </c>
      <c r="K94" s="13" t="n">
        <f aca="false">IFERROR(INDEX('Vitesse (calcul)'!$P$21:$P$153,MATCH($A94&amp;"|"&amp;$B94,'Vitesse (calcul)'!$A$21:$A$153,0)),"N/A")</f>
        <v>3000</v>
      </c>
      <c r="L94" s="15" t="n">
        <f aca="false">IFERROR(INDEX('Vitesse (calcul)'!$S$21:$S$153,MATCH($A94&amp;"|"&amp;$B94,'Vitesse (calcul)'!$A$21:$A$153,0)),"N/A")</f>
        <v>9.9</v>
      </c>
      <c r="M94" s="11"/>
      <c r="N94" s="11"/>
      <c r="O94" s="11"/>
      <c r="P94" s="17" t="n">
        <v>5</v>
      </c>
      <c r="Q94" s="17" t="n">
        <v>5</v>
      </c>
      <c r="R94" s="17" t="n">
        <v>3</v>
      </c>
      <c r="S94" s="17" t="n">
        <v>2</v>
      </c>
      <c r="T94" s="17" t="n">
        <v>3</v>
      </c>
      <c r="U94" s="17" t="n">
        <v>3</v>
      </c>
      <c r="V94" s="17" t="n">
        <v>2</v>
      </c>
      <c r="W94" s="17" t="n">
        <v>0</v>
      </c>
      <c r="X94" s="17" t="n">
        <v>4</v>
      </c>
      <c r="Y94" s="11"/>
      <c r="Z94" s="11"/>
      <c r="AA94" s="11"/>
      <c r="AB94" s="11"/>
      <c r="AC94" s="11"/>
      <c r="AD94" s="11"/>
      <c r="AE94" s="11"/>
    </row>
    <row r="95" customFormat="false" ht="15" hidden="false" customHeight="false" outlineLevel="0" collapsed="false">
      <c r="A95" s="11" t="s">
        <v>172</v>
      </c>
      <c r="B95" s="11" t="s">
        <v>169</v>
      </c>
      <c r="C95" s="11" t="s">
        <v>64</v>
      </c>
      <c r="D95" s="11"/>
      <c r="E95" s="12" t="n">
        <v>700</v>
      </c>
      <c r="F95" s="12" t="n">
        <v>10</v>
      </c>
      <c r="G95" s="12" t="n">
        <v>0.08</v>
      </c>
      <c r="H95" s="12" t="n">
        <v>125</v>
      </c>
      <c r="I95" s="11"/>
      <c r="J95" s="12" t="n">
        <v>40000</v>
      </c>
      <c r="K95" s="13" t="n">
        <f aca="false">IFERROR(INDEX('Vitesse (calcul)'!$P$21:$P$153,MATCH($A95&amp;"|"&amp;$B95,'Vitesse (calcul)'!$A$21:$A$153,0)),"N/A")</f>
        <v>850</v>
      </c>
      <c r="L95" s="15" t="n">
        <f aca="false">IFERROR(INDEX('Vitesse (calcul)'!$S$21:$S$153,MATCH($A95&amp;"|"&amp;$B95,'Vitesse (calcul)'!$A$21:$A$153,0)),"N/A")</f>
        <v>4.5</v>
      </c>
      <c r="M95" s="11"/>
      <c r="N95" s="11"/>
      <c r="O95" s="11"/>
      <c r="P95" s="17" t="n">
        <v>5</v>
      </c>
      <c r="Q95" s="17" t="n">
        <v>2</v>
      </c>
      <c r="R95" s="17" t="n">
        <v>3</v>
      </c>
      <c r="S95" s="17" t="n">
        <v>2</v>
      </c>
      <c r="T95" s="17" t="n">
        <v>0</v>
      </c>
      <c r="U95" s="17" t="n">
        <v>3</v>
      </c>
      <c r="V95" s="17" t="n">
        <v>1</v>
      </c>
      <c r="W95" s="17" t="n">
        <v>0</v>
      </c>
      <c r="X95" s="11"/>
      <c r="Y95" s="11"/>
      <c r="Z95" s="11"/>
      <c r="AA95" s="11"/>
      <c r="AB95" s="11"/>
      <c r="AC95" s="11"/>
      <c r="AD95" s="11"/>
      <c r="AE95" s="11"/>
    </row>
    <row r="96" customFormat="false" ht="15" hidden="false" customHeight="false" outlineLevel="0" collapsed="false">
      <c r="A96" s="11" t="s">
        <v>173</v>
      </c>
      <c r="B96" s="11" t="s">
        <v>169</v>
      </c>
      <c r="C96" s="11" t="s">
        <v>64</v>
      </c>
      <c r="D96" s="11"/>
      <c r="E96" s="12" t="n">
        <v>650</v>
      </c>
      <c r="F96" s="12" t="n">
        <v>0.04</v>
      </c>
      <c r="G96" s="12" t="n">
        <v>0.0005</v>
      </c>
      <c r="H96" s="12" t="n">
        <v>80</v>
      </c>
      <c r="I96" s="11"/>
      <c r="J96" s="12" t="n">
        <v>4000</v>
      </c>
      <c r="K96" s="13" t="n">
        <f aca="false">IFERROR(INDEX('Vitesse (calcul)'!$P$21:$P$153,MATCH($A96&amp;"|"&amp;$B96,'Vitesse (calcul)'!$A$21:$A$153,0)),"N/A")</f>
        <v>1100</v>
      </c>
      <c r="L96" s="15" t="n">
        <f aca="false">IFERROR(INDEX('Vitesse (calcul)'!$S$21:$S$153,MATCH($A96&amp;"|"&amp;$B96,'Vitesse (calcul)'!$A$21:$A$153,0)),"N/A")</f>
        <v>7.1</v>
      </c>
      <c r="M96" s="11"/>
      <c r="N96" s="11"/>
      <c r="O96" s="11"/>
      <c r="P96" s="17" t="n">
        <v>4</v>
      </c>
      <c r="Q96" s="17" t="n">
        <v>2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1</v>
      </c>
      <c r="Y96" s="11"/>
      <c r="Z96" s="11"/>
      <c r="AA96" s="11"/>
      <c r="AB96" s="11"/>
      <c r="AC96" s="11"/>
      <c r="AD96" s="11"/>
      <c r="AE96" s="11"/>
    </row>
    <row r="97" customFormat="false" ht="15" hidden="false" customHeight="false" outlineLevel="0" collapsed="false">
      <c r="A97" s="11" t="s">
        <v>174</v>
      </c>
      <c r="B97" s="11" t="s">
        <v>169</v>
      </c>
      <c r="C97" s="11" t="s">
        <v>64</v>
      </c>
      <c r="D97" s="11"/>
      <c r="E97" s="12" t="n">
        <v>800</v>
      </c>
      <c r="F97" s="12" t="n">
        <v>0.2</v>
      </c>
      <c r="G97" s="12" t="n">
        <v>0.00012</v>
      </c>
      <c r="H97" s="12" t="n">
        <v>1666.66666666667</v>
      </c>
      <c r="I97" s="11"/>
      <c r="J97" s="12" t="n">
        <v>5000</v>
      </c>
      <c r="K97" s="13" t="n">
        <f aca="false">IFERROR(INDEX('Vitesse (calcul)'!$P$21:$P$153,MATCH($A97&amp;"|"&amp;$B97,'Vitesse (calcul)'!$A$21:$A$153,0)),"N/A")</f>
        <v>900</v>
      </c>
      <c r="L97" s="15" t="n">
        <f aca="false">IFERROR(INDEX('Vitesse (calcul)'!$S$21:$S$153,MATCH($A97&amp;"|"&amp;$B97,'Vitesse (calcul)'!$A$21:$A$153,0)),"N/A")</f>
        <v>4.8</v>
      </c>
      <c r="M97" s="11"/>
      <c r="N97" s="11"/>
      <c r="O97" s="11"/>
      <c r="P97" s="17" t="n">
        <v>4</v>
      </c>
      <c r="Q97" s="17" t="n">
        <v>3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1</v>
      </c>
      <c r="Y97" s="17" t="n">
        <v>1</v>
      </c>
      <c r="Z97" s="17" t="n">
        <v>1</v>
      </c>
      <c r="AA97" s="11"/>
      <c r="AB97" s="11"/>
      <c r="AC97" s="11"/>
      <c r="AD97" s="11"/>
      <c r="AE97" s="11"/>
    </row>
    <row r="98" customFormat="false" ht="15" hidden="false" customHeight="false" outlineLevel="0" collapsed="false">
      <c r="A98" s="11" t="s">
        <v>175</v>
      </c>
      <c r="B98" s="11" t="s">
        <v>169</v>
      </c>
      <c r="C98" s="11" t="s">
        <v>64</v>
      </c>
      <c r="D98" s="11"/>
      <c r="E98" s="12" t="n">
        <v>900</v>
      </c>
      <c r="F98" s="12" t="n">
        <v>0.5</v>
      </c>
      <c r="G98" s="12" t="n">
        <v>0.001</v>
      </c>
      <c r="H98" s="12" t="n">
        <v>500</v>
      </c>
      <c r="I98" s="11"/>
      <c r="J98" s="12" t="n">
        <v>6000</v>
      </c>
      <c r="K98" s="13" t="n">
        <f aca="false">IFERROR(INDEX('Vitesse (calcul)'!$P$21:$P$153,MATCH($A98&amp;"|"&amp;$B98,'Vitesse (calcul)'!$A$21:$A$153,0)),"N/A")</f>
        <v>1260</v>
      </c>
      <c r="L98" s="15" t="n">
        <f aca="false">IFERROR(INDEX('Vitesse (calcul)'!$S$21:$S$153,MATCH($A98&amp;"|"&amp;$B98,'Vitesse (calcul)'!$A$21:$A$153,0)),"N/A")</f>
        <v>8.3</v>
      </c>
      <c r="M98" s="11"/>
      <c r="N98" s="11"/>
      <c r="O98" s="11"/>
      <c r="P98" s="17" t="n">
        <v>4</v>
      </c>
      <c r="Q98" s="17" t="n">
        <v>3</v>
      </c>
      <c r="R98" s="17" t="n">
        <v>1</v>
      </c>
      <c r="S98" s="17" t="n">
        <v>0</v>
      </c>
      <c r="T98" s="17" t="n">
        <v>0</v>
      </c>
      <c r="U98" s="17" t="n">
        <v>1</v>
      </c>
      <c r="V98" s="17" t="n">
        <v>0</v>
      </c>
      <c r="W98" s="17" t="n">
        <v>0</v>
      </c>
      <c r="X98" s="17" t="n">
        <v>2</v>
      </c>
      <c r="Y98" s="11"/>
      <c r="Z98" s="11"/>
      <c r="AA98" s="11"/>
      <c r="AB98" s="11"/>
      <c r="AC98" s="11"/>
      <c r="AD98" s="11"/>
      <c r="AE98" s="11"/>
    </row>
    <row r="99" customFormat="false" ht="15" hidden="false" customHeight="false" outlineLevel="0" collapsed="false">
      <c r="A99" s="11" t="s">
        <v>176</v>
      </c>
      <c r="B99" s="11" t="s">
        <v>169</v>
      </c>
      <c r="C99" s="11" t="s">
        <v>64</v>
      </c>
      <c r="D99" s="11"/>
      <c r="E99" s="12" t="n">
        <v>450</v>
      </c>
      <c r="F99" s="12" t="n">
        <v>5</v>
      </c>
      <c r="G99" s="12" t="n">
        <v>0.0125</v>
      </c>
      <c r="H99" s="12" t="n">
        <v>400</v>
      </c>
      <c r="I99" s="11"/>
      <c r="J99" s="12" t="n">
        <v>10000</v>
      </c>
      <c r="K99" s="13" t="n">
        <f aca="false">IFERROR(INDEX('Vitesse (calcul)'!$P$21:$P$153,MATCH($A99&amp;"|"&amp;$B99,'Vitesse (calcul)'!$A$21:$A$153,0)),"N/A")</f>
        <v>300</v>
      </c>
      <c r="L99" s="15" t="n">
        <f aca="false">IFERROR(INDEX('Vitesse (calcul)'!$S$21:$S$153,MATCH($A99&amp;"|"&amp;$B99,'Vitesse (calcul)'!$A$21:$A$153,0)),"N/A")</f>
        <v>1.6</v>
      </c>
      <c r="M99" s="11"/>
      <c r="N99" s="11"/>
      <c r="O99" s="11"/>
      <c r="P99" s="17" t="n">
        <v>5</v>
      </c>
      <c r="Q99" s="17" t="n">
        <v>0</v>
      </c>
      <c r="R99" s="17" t="n">
        <v>2</v>
      </c>
      <c r="S99" s="17" t="n">
        <v>1</v>
      </c>
      <c r="T99" s="17" t="n">
        <v>0</v>
      </c>
      <c r="U99" s="17" t="n">
        <v>2</v>
      </c>
      <c r="V99" s="17" t="n">
        <v>1</v>
      </c>
      <c r="W99" s="17" t="n">
        <v>0</v>
      </c>
      <c r="X99" s="11"/>
      <c r="Y99" s="11"/>
      <c r="Z99" s="11"/>
      <c r="AA99" s="11"/>
      <c r="AB99" s="11"/>
      <c r="AC99" s="11"/>
      <c r="AD99" s="11"/>
      <c r="AE99" s="11"/>
    </row>
    <row r="100" customFormat="false" ht="15" hidden="false" customHeight="false" outlineLevel="0" collapsed="false">
      <c r="A100" s="11" t="s">
        <v>154</v>
      </c>
      <c r="B100" s="11" t="s">
        <v>169</v>
      </c>
      <c r="C100" s="11" t="s">
        <v>151</v>
      </c>
      <c r="D100" s="11"/>
      <c r="E100" s="11"/>
      <c r="F100" s="11"/>
      <c r="G100" s="12" t="n">
        <v>0</v>
      </c>
      <c r="H100" s="11"/>
      <c r="I100" s="11"/>
      <c r="J100" s="11"/>
      <c r="K100" s="18" t="str">
        <f aca="false">IFERROR(INDEX('Vitesse (calcul)'!$P$21:$P$153,MATCH($A100&amp;"|"&amp;$B100,'Vitesse (calcul)'!$A$21:$A$153,0)),"N/A")</f>
        <v>N/A</v>
      </c>
      <c r="L100" s="15" t="str">
        <f aca="false">IFERROR(INDEX('Vitesse (calcul)'!$S$21:$S$153,MATCH($A100&amp;"|"&amp;$B100,'Vitesse (calcul)'!$A$21:$A$153,0)),"N/A")</f>
        <v>N/A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customFormat="false" ht="15" hidden="false" customHeight="false" outlineLevel="0" collapsed="false">
      <c r="A101" s="11" t="s">
        <v>177</v>
      </c>
      <c r="B101" s="11" t="s">
        <v>178</v>
      </c>
      <c r="C101" s="11" t="s">
        <v>64</v>
      </c>
      <c r="D101" s="11"/>
      <c r="E101" s="12" t="n">
        <v>625</v>
      </c>
      <c r="F101" s="12" t="n">
        <v>0.07</v>
      </c>
      <c r="G101" s="12" t="n">
        <v>6E-005</v>
      </c>
      <c r="H101" s="12" t="n">
        <v>1166.66666666667</v>
      </c>
      <c r="I101" s="11"/>
      <c r="J101" s="12" t="n">
        <v>3000</v>
      </c>
      <c r="K101" s="13" t="n">
        <f aca="false">IFERROR(INDEX('Vitesse (calcul)'!$P$21:$P$153,MATCH($A101&amp;"|"&amp;$B101,'Vitesse (calcul)'!$A$21:$A$153,0)),"N/A")</f>
        <v>800</v>
      </c>
      <c r="L101" s="15" t="n">
        <f aca="false">IFERROR(INDEX('Vitesse (calcul)'!$S$21:$S$153,MATCH($A101&amp;"|"&amp;$B101,'Vitesse (calcul)'!$A$21:$A$153,0)),"N/A")</f>
        <v>3.6</v>
      </c>
      <c r="M101" s="11"/>
      <c r="N101" s="11"/>
      <c r="O101" s="11"/>
      <c r="P101" s="17" t="n">
        <v>4</v>
      </c>
      <c r="Q101" s="17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1</v>
      </c>
      <c r="Y101" s="17" t="n">
        <v>1</v>
      </c>
      <c r="Z101" s="17" t="n">
        <v>0</v>
      </c>
      <c r="AA101" s="11"/>
      <c r="AB101" s="11"/>
      <c r="AC101" s="11"/>
      <c r="AD101" s="11"/>
      <c r="AE101" s="11"/>
    </row>
    <row r="102" customFormat="false" ht="15" hidden="false" customHeight="false" outlineLevel="0" collapsed="false">
      <c r="A102" s="11" t="s">
        <v>179</v>
      </c>
      <c r="B102" s="11" t="s">
        <v>178</v>
      </c>
      <c r="C102" s="11" t="s">
        <v>64</v>
      </c>
      <c r="D102" s="11"/>
      <c r="E102" s="12" t="n">
        <v>1900</v>
      </c>
      <c r="F102" s="12" t="n">
        <v>5</v>
      </c>
      <c r="G102" s="12" t="n">
        <v>6E-005</v>
      </c>
      <c r="H102" s="12" t="n">
        <v>83333.3333333333</v>
      </c>
      <c r="I102" s="11"/>
      <c r="J102" s="12" t="n">
        <v>3000</v>
      </c>
      <c r="K102" s="13" t="n">
        <f aca="false">IFERROR(INDEX('Vitesse (calcul)'!$P$21:$P$153,MATCH($A102&amp;"|"&amp;$B102,'Vitesse (calcul)'!$A$21:$A$153,0)),"N/A")</f>
        <v>800</v>
      </c>
      <c r="L102" s="15" t="n">
        <f aca="false">IFERROR(INDEX('Vitesse (calcul)'!$S$21:$S$153,MATCH($A102&amp;"|"&amp;$B102,'Vitesse (calcul)'!$A$21:$A$153,0)),"N/A")</f>
        <v>3.6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customFormat="false" ht="15" hidden="false" customHeight="false" outlineLevel="0" collapsed="false">
      <c r="A103" s="11" t="s">
        <v>180</v>
      </c>
      <c r="B103" s="11" t="s">
        <v>181</v>
      </c>
      <c r="C103" s="11" t="s">
        <v>64</v>
      </c>
      <c r="D103" s="11"/>
      <c r="E103" s="12" t="n">
        <v>2700</v>
      </c>
      <c r="F103" s="12" t="n">
        <v>17</v>
      </c>
      <c r="G103" s="12" t="n">
        <v>0.03</v>
      </c>
      <c r="H103" s="12" t="n">
        <v>566.666666666667</v>
      </c>
      <c r="I103" s="12" t="n">
        <v>300</v>
      </c>
      <c r="J103" s="12" t="n">
        <v>50000</v>
      </c>
      <c r="K103" s="13" t="n">
        <f aca="false">IFERROR(INDEX('Vitesse (calcul)'!$P$21:$P$153,MATCH($A103&amp;"|"&amp;$B103,'Vitesse (calcul)'!$A$21:$A$153,0)),"N/A")</f>
        <v>2680</v>
      </c>
      <c r="L103" s="15" t="n">
        <f aca="false">IFERROR(INDEX('Vitesse (calcul)'!$S$21:$S$153,MATCH($A103&amp;"|"&amp;$B103,'Vitesse (calcul)'!$A$21:$A$153,0)),"N/A")</f>
        <v>9.8</v>
      </c>
      <c r="M103" s="11"/>
      <c r="N103" s="11"/>
      <c r="O103" s="11"/>
      <c r="P103" s="17" t="n">
        <v>5</v>
      </c>
      <c r="Q103" s="17" t="n">
        <v>5</v>
      </c>
      <c r="R103" s="17" t="n">
        <v>3</v>
      </c>
      <c r="S103" s="17" t="n">
        <v>2</v>
      </c>
      <c r="T103" s="17" t="n">
        <v>3</v>
      </c>
      <c r="U103" s="17" t="n">
        <v>3</v>
      </c>
      <c r="V103" s="17" t="n">
        <v>2</v>
      </c>
      <c r="W103" s="17" t="n">
        <v>0</v>
      </c>
      <c r="X103" s="11"/>
      <c r="Y103" s="11"/>
      <c r="Z103" s="11"/>
      <c r="AA103" s="11"/>
      <c r="AB103" s="11"/>
      <c r="AC103" s="11"/>
      <c r="AD103" s="11"/>
      <c r="AE103" s="11"/>
    </row>
    <row r="104" customFormat="false" ht="15" hidden="false" customHeight="false" outlineLevel="0" collapsed="false">
      <c r="A104" s="11" t="s">
        <v>182</v>
      </c>
      <c r="B104" s="11" t="s">
        <v>181</v>
      </c>
      <c r="C104" s="11" t="s">
        <v>64</v>
      </c>
      <c r="D104" s="11"/>
      <c r="E104" s="12" t="n">
        <v>10000</v>
      </c>
      <c r="F104" s="12" t="n">
        <v>10</v>
      </c>
      <c r="G104" s="12" t="n">
        <v>1</v>
      </c>
      <c r="H104" s="12" t="n">
        <v>10</v>
      </c>
      <c r="I104" s="11"/>
      <c r="J104" s="12" t="n">
        <v>100</v>
      </c>
      <c r="K104" s="13" t="n">
        <f aca="false">IFERROR(INDEX('Vitesse (calcul)'!$P$21:$P$153,MATCH($A104&amp;"|"&amp;$B104,'Vitesse (calcul)'!$A$21:$A$153,0)),"N/A")</f>
        <v>100</v>
      </c>
      <c r="L104" s="15" t="n">
        <f aca="false">IFERROR(INDEX('Vitesse (calcul)'!$S$21:$S$153,MATCH($A104&amp;"|"&amp;$B104,'Vitesse (calcul)'!$A$21:$A$153,0)),"N/A")</f>
        <v>1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customFormat="false" ht="15" hidden="false" customHeight="false" outlineLevel="0" collapsed="false">
      <c r="A105" s="11" t="s">
        <v>183</v>
      </c>
      <c r="B105" s="11" t="s">
        <v>181</v>
      </c>
      <c r="C105" s="11" t="s">
        <v>64</v>
      </c>
      <c r="D105" s="11"/>
      <c r="E105" s="12" t="n">
        <v>4000</v>
      </c>
      <c r="F105" s="12" t="n">
        <v>10</v>
      </c>
      <c r="G105" s="12" t="n">
        <v>0.003</v>
      </c>
      <c r="H105" s="12" t="n">
        <v>3333.33333333333</v>
      </c>
      <c r="I105" s="11"/>
      <c r="J105" s="12" t="n">
        <v>40000</v>
      </c>
      <c r="K105" s="13" t="n">
        <f aca="false">IFERROR(INDEX('Vitesse (calcul)'!$P$21:$P$153,MATCH($A105&amp;"|"&amp;$B105,'Vitesse (calcul)'!$A$21:$A$153,0)),"N/A")</f>
        <v>2100</v>
      </c>
      <c r="L105" s="15" t="n">
        <f aca="false">IFERROR(INDEX('Vitesse (calcul)'!$S$21:$S$153,MATCH($A105&amp;"|"&amp;$B105,'Vitesse (calcul)'!$A$21:$A$153,0)),"N/A")</f>
        <v>9.6</v>
      </c>
      <c r="M105" s="11"/>
      <c r="N105" s="11"/>
      <c r="O105" s="11"/>
      <c r="P105" s="17" t="n">
        <v>5</v>
      </c>
      <c r="Q105" s="17" t="n">
        <v>5</v>
      </c>
      <c r="R105" s="17" t="n">
        <v>3</v>
      </c>
      <c r="S105" s="17" t="n">
        <v>2</v>
      </c>
      <c r="T105" s="17" t="n">
        <v>4</v>
      </c>
      <c r="U105" s="17" t="n">
        <v>3</v>
      </c>
      <c r="V105" s="17" t="n">
        <v>2</v>
      </c>
      <c r="W105" s="17" t="n">
        <v>1</v>
      </c>
      <c r="X105" s="11"/>
      <c r="Y105" s="11"/>
      <c r="Z105" s="11"/>
      <c r="AA105" s="11"/>
      <c r="AB105" s="11"/>
      <c r="AC105" s="11"/>
      <c r="AD105" s="11"/>
      <c r="AE105" s="11"/>
    </row>
    <row r="106" customFormat="false" ht="15" hidden="false" customHeight="false" outlineLevel="0" collapsed="false">
      <c r="A106" s="11" t="s">
        <v>184</v>
      </c>
      <c r="B106" s="11" t="s">
        <v>181</v>
      </c>
      <c r="C106" s="11" t="s">
        <v>64</v>
      </c>
      <c r="D106" s="11"/>
      <c r="E106" s="12" t="n">
        <v>460</v>
      </c>
      <c r="F106" s="12" t="n">
        <v>0.04</v>
      </c>
      <c r="G106" s="12" t="n">
        <v>0.0002</v>
      </c>
      <c r="H106" s="12" t="n">
        <v>200</v>
      </c>
      <c r="I106" s="11"/>
      <c r="J106" s="12" t="n">
        <v>3000</v>
      </c>
      <c r="K106" s="13" t="n">
        <f aca="false">IFERROR(INDEX('Vitesse (calcul)'!$P$21:$P$153,MATCH($A106&amp;"|"&amp;$B106,'Vitesse (calcul)'!$A$21:$A$153,0)),"N/A")</f>
        <v>1200</v>
      </c>
      <c r="L106" s="15" t="n">
        <f aca="false">IFERROR(INDEX('Vitesse (calcul)'!$S$21:$S$153,MATCH($A106&amp;"|"&amp;$B106,'Vitesse (calcul)'!$A$21:$A$153,0)),"N/A")</f>
        <v>7.9</v>
      </c>
      <c r="M106" s="11"/>
      <c r="N106" s="11"/>
      <c r="O106" s="11"/>
      <c r="P106" s="17" t="n">
        <v>4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1</v>
      </c>
      <c r="Y106" s="17" t="n">
        <v>1</v>
      </c>
      <c r="Z106" s="17" t="n">
        <v>0</v>
      </c>
      <c r="AA106" s="11"/>
      <c r="AB106" s="11"/>
      <c r="AC106" s="11"/>
      <c r="AD106" s="11"/>
      <c r="AE106" s="11"/>
    </row>
    <row r="107" customFormat="false" ht="15" hidden="false" customHeight="false" outlineLevel="0" collapsed="false">
      <c r="A107" s="11" t="s">
        <v>163</v>
      </c>
      <c r="B107" s="11" t="s">
        <v>181</v>
      </c>
      <c r="C107" s="11" t="s">
        <v>64</v>
      </c>
      <c r="D107" s="11"/>
      <c r="E107" s="12" t="n">
        <v>725</v>
      </c>
      <c r="F107" s="12" t="n">
        <v>0.13</v>
      </c>
      <c r="G107" s="12" t="n">
        <v>0.00012</v>
      </c>
      <c r="H107" s="12" t="n">
        <v>1083.33333333333</v>
      </c>
      <c r="I107" s="11"/>
      <c r="J107" s="12" t="n">
        <v>4500</v>
      </c>
      <c r="K107" s="13" t="n">
        <f aca="false">IFERROR(INDEX('Vitesse (calcul)'!$P$21:$P$153,MATCH($A107&amp;"|"&amp;$B107,'Vitesse (calcul)'!$A$21:$A$153,0)),"N/A")</f>
        <v>1175</v>
      </c>
      <c r="L107" s="15" t="n">
        <f aca="false">IFERROR(INDEX('Vitesse (calcul)'!$S$21:$S$153,MATCH($A107&amp;"|"&amp;$B107,'Vitesse (calcul)'!$A$21:$A$153,0)),"N/A")</f>
        <v>7.7</v>
      </c>
      <c r="M107" s="11"/>
      <c r="N107" s="11"/>
      <c r="O107" s="11"/>
      <c r="P107" s="17" t="n">
        <v>4</v>
      </c>
      <c r="Q107" s="17" t="n">
        <v>3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1</v>
      </c>
      <c r="Y107" s="17" t="n">
        <v>1</v>
      </c>
      <c r="Z107" s="17" t="n">
        <v>0</v>
      </c>
      <c r="AA107" s="11"/>
      <c r="AB107" s="11"/>
      <c r="AC107" s="11"/>
      <c r="AD107" s="11"/>
      <c r="AE107" s="11"/>
    </row>
    <row r="108" customFormat="false" ht="15" hidden="false" customHeight="false" outlineLevel="0" collapsed="false">
      <c r="A108" s="11" t="s">
        <v>185</v>
      </c>
      <c r="B108" s="11" t="s">
        <v>181</v>
      </c>
      <c r="C108" s="11" t="s">
        <v>138</v>
      </c>
      <c r="D108" s="11" t="s">
        <v>107</v>
      </c>
      <c r="E108" s="12" t="n">
        <v>0</v>
      </c>
      <c r="F108" s="12" t="n">
        <v>20000000</v>
      </c>
      <c r="G108" s="12" t="n">
        <v>32</v>
      </c>
      <c r="H108" s="12" t="n">
        <v>625000</v>
      </c>
      <c r="I108" s="12" t="n">
        <v>5000</v>
      </c>
      <c r="J108" s="12" t="n">
        <v>1000000</v>
      </c>
      <c r="K108" s="13" t="n">
        <f aca="false">IFERROR(INDEX('Vitesse (calcul)'!$P$21:$P$153,MATCH($A108&amp;"|"&amp;$B108,'Vitesse (calcul)'!$A$21:$A$153,0)),"N/A")</f>
        <v>427.299660659823</v>
      </c>
      <c r="L108" s="14" t="n">
        <f aca="false">IFERROR(INDEX('Vitesse (calcul)'!$S$21:$S$153,MATCH($A108&amp;"|"&amp;$B108,'Vitesse (calcul)'!$A$21:$A$153,0)),"N/A")</f>
        <v>2.5</v>
      </c>
      <c r="M108" s="11" t="s">
        <v>186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customFormat="false" ht="15" hidden="false" customHeight="false" outlineLevel="0" collapsed="false">
      <c r="A109" s="11" t="s">
        <v>187</v>
      </c>
      <c r="B109" s="11" t="s">
        <v>188</v>
      </c>
      <c r="C109" s="11" t="s">
        <v>64</v>
      </c>
      <c r="D109" s="11"/>
      <c r="E109" s="12" t="n">
        <v>210</v>
      </c>
      <c r="F109" s="12" t="n">
        <v>0</v>
      </c>
      <c r="G109" s="12" t="n">
        <v>3E-006</v>
      </c>
      <c r="H109" s="12" t="n">
        <v>0</v>
      </c>
      <c r="I109" s="11"/>
      <c r="J109" s="12" t="n">
        <v>2000</v>
      </c>
      <c r="K109" s="13" t="n">
        <f aca="false">IFERROR(INDEX('Vitesse (calcul)'!$P$21:$P$153,MATCH($A109&amp;"|"&amp;$B109,'Vitesse (calcul)'!$A$21:$A$153,0)),"N/A")</f>
        <v>870</v>
      </c>
      <c r="L109" s="15" t="n">
        <f aca="false">IFERROR(INDEX('Vitesse (calcul)'!$S$21:$S$153,MATCH($A109&amp;"|"&amp;$B109,'Vitesse (calcul)'!$A$21:$A$153,0)),"N/A")</f>
        <v>4.6</v>
      </c>
      <c r="M109" s="11"/>
      <c r="N109" s="11"/>
      <c r="O109" s="11"/>
      <c r="P109" s="17" t="n">
        <v>2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1"/>
      <c r="AB109" s="11"/>
      <c r="AC109" s="11"/>
      <c r="AD109" s="11"/>
      <c r="AE109" s="11"/>
    </row>
    <row r="110" customFormat="false" ht="15" hidden="false" customHeight="false" outlineLevel="0" collapsed="false">
      <c r="A110" s="11" t="s">
        <v>70</v>
      </c>
      <c r="B110" s="11" t="s">
        <v>188</v>
      </c>
      <c r="C110" s="11" t="s">
        <v>64</v>
      </c>
      <c r="D110" s="11"/>
      <c r="E110" s="12" t="n">
        <v>400</v>
      </c>
      <c r="F110" s="12" t="n">
        <v>0.01</v>
      </c>
      <c r="G110" s="12" t="n">
        <v>3E-005</v>
      </c>
      <c r="H110" s="12" t="n">
        <v>333.333333333333</v>
      </c>
      <c r="I110" s="11"/>
      <c r="J110" s="12" t="n">
        <v>2000</v>
      </c>
      <c r="K110" s="13" t="n">
        <f aca="false">IFERROR(INDEX('Vitesse (calcul)'!$P$21:$P$153,MATCH($A110&amp;"|"&amp;$B110,'Vitesse (calcul)'!$A$21:$A$153,0)),"N/A")</f>
        <v>1100</v>
      </c>
      <c r="L110" s="15" t="n">
        <f aca="false">IFERROR(INDEX('Vitesse (calcul)'!$S$21:$S$153,MATCH($A110&amp;"|"&amp;$B110,'Vitesse (calcul)'!$A$21:$A$153,0)),"N/A")</f>
        <v>7.1</v>
      </c>
      <c r="M110" s="11"/>
      <c r="N110" s="11"/>
      <c r="O110" s="11"/>
      <c r="P110" s="17" t="n">
        <v>3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1</v>
      </c>
      <c r="Y110" s="17" t="n">
        <v>0</v>
      </c>
      <c r="Z110" s="17" t="n">
        <v>0</v>
      </c>
      <c r="AA110" s="11"/>
      <c r="AB110" s="11"/>
      <c r="AC110" s="11"/>
      <c r="AD110" s="11"/>
      <c r="AE110" s="11"/>
    </row>
    <row r="111" customFormat="false" ht="15" hidden="false" customHeight="false" outlineLevel="0" collapsed="false">
      <c r="A111" s="11" t="s">
        <v>163</v>
      </c>
      <c r="B111" s="11" t="s">
        <v>188</v>
      </c>
      <c r="C111" s="11" t="s">
        <v>64</v>
      </c>
      <c r="D111" s="11"/>
      <c r="E111" s="12" t="n">
        <v>625</v>
      </c>
      <c r="F111" s="12" t="n">
        <v>0</v>
      </c>
      <c r="G111" s="12" t="n">
        <v>6E-005</v>
      </c>
      <c r="H111" s="12" t="n">
        <v>0</v>
      </c>
      <c r="I111" s="11"/>
      <c r="J111" s="12" t="n">
        <v>2000</v>
      </c>
      <c r="K111" s="13" t="n">
        <f aca="false">IFERROR(INDEX('Vitesse (calcul)'!$P$21:$P$153,MATCH($A111&amp;"|"&amp;$B111,'Vitesse (calcul)'!$A$21:$A$153,0)),"N/A")</f>
        <v>790</v>
      </c>
      <c r="L111" s="15" t="n">
        <f aca="false">IFERROR(INDEX('Vitesse (calcul)'!$S$21:$S$153,MATCH($A111&amp;"|"&amp;$B111,'Vitesse (calcul)'!$A$21:$A$153,0)),"N/A")</f>
        <v>3.4</v>
      </c>
      <c r="M111" s="11"/>
      <c r="N111" s="11"/>
      <c r="O111" s="11"/>
      <c r="P111" s="17" t="n">
        <v>4</v>
      </c>
      <c r="Q111" s="17" t="n">
        <v>2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1</v>
      </c>
      <c r="Y111" s="11"/>
      <c r="Z111" s="11"/>
      <c r="AA111" s="11"/>
      <c r="AB111" s="11"/>
      <c r="AC111" s="11"/>
      <c r="AD111" s="11"/>
      <c r="AE111" s="11"/>
    </row>
    <row r="112" customFormat="false" ht="15" hidden="false" customHeight="false" outlineLevel="0" collapsed="false">
      <c r="A112" s="11" t="s">
        <v>163</v>
      </c>
      <c r="B112" s="11" t="s">
        <v>189</v>
      </c>
      <c r="C112" s="11" t="s">
        <v>64</v>
      </c>
      <c r="D112" s="11"/>
      <c r="E112" s="12" t="n">
        <v>500</v>
      </c>
      <c r="F112" s="12" t="n">
        <v>0.1</v>
      </c>
      <c r="G112" s="12" t="n">
        <v>6E-005</v>
      </c>
      <c r="H112" s="12" t="n">
        <v>1666.66666666667</v>
      </c>
      <c r="I112" s="11"/>
      <c r="J112" s="12" t="n">
        <v>2000</v>
      </c>
      <c r="K112" s="13" t="n">
        <f aca="false">IFERROR(INDEX('Vitesse (calcul)'!$P$21:$P$153,MATCH($A112&amp;"|"&amp;$B112,'Vitesse (calcul)'!$A$21:$A$153,0)),"N/A")</f>
        <v>825</v>
      </c>
      <c r="L112" s="15" t="n">
        <f aca="false">IFERROR(INDEX('Vitesse (calcul)'!$S$21:$S$153,MATCH($A112&amp;"|"&amp;$B112,'Vitesse (calcul)'!$A$21:$A$153,0)),"N/A")</f>
        <v>4</v>
      </c>
      <c r="M112" s="11"/>
      <c r="N112" s="11"/>
      <c r="O112" s="11"/>
      <c r="P112" s="17" t="n">
        <v>4</v>
      </c>
      <c r="Q112" s="17" t="n">
        <v>1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1</v>
      </c>
      <c r="Y112" s="17" t="n">
        <v>1</v>
      </c>
      <c r="Z112" s="17" t="n">
        <v>0</v>
      </c>
      <c r="AA112" s="11"/>
      <c r="AB112" s="11"/>
      <c r="AC112" s="11"/>
      <c r="AD112" s="11"/>
      <c r="AE112" s="11"/>
    </row>
    <row r="113" customFormat="false" ht="15" hidden="false" customHeight="false" outlineLevel="0" collapsed="false">
      <c r="A113" s="11" t="s">
        <v>190</v>
      </c>
      <c r="B113" s="11" t="s">
        <v>191</v>
      </c>
      <c r="C113" s="11" t="s">
        <v>56</v>
      </c>
      <c r="D113" s="11" t="s">
        <v>38</v>
      </c>
      <c r="E113" s="12" t="n">
        <v>600</v>
      </c>
      <c r="F113" s="12" t="n">
        <v>3000</v>
      </c>
      <c r="G113" s="12" t="n">
        <v>0.7</v>
      </c>
      <c r="H113" s="12" t="n">
        <v>4285.71428571429</v>
      </c>
      <c r="I113" s="12" t="n">
        <v>1000</v>
      </c>
      <c r="J113" s="12" t="n">
        <v>10000</v>
      </c>
      <c r="K113" s="13" t="str">
        <f aca="false">IFERROR(INDEX('Vitesse (calcul)'!$P$21:$P$153,MATCH($A113&amp;"|"&amp;$B113,'Vitesse (calcul)'!$A$21:$A$153,0)),"N/A")</f>
        <v>N/A</v>
      </c>
      <c r="L113" s="15" t="str">
        <f aca="false">IFERROR(INDEX('Vitesse (calcul)'!$S$21:$S$153,MATCH($A113&amp;"|"&amp;$B113,'Vitesse (calcul)'!$A$21:$A$153,0)),"N/A")</f>
        <v>N/A</v>
      </c>
      <c r="M113" s="11" t="s">
        <v>59</v>
      </c>
      <c r="N113" s="11"/>
      <c r="O113" s="11"/>
      <c r="P113" s="16" t="n">
        <v>5</v>
      </c>
      <c r="Q113" s="17" t="n">
        <v>5</v>
      </c>
      <c r="R113" s="17" t="n">
        <v>5</v>
      </c>
      <c r="S113" s="17" t="n">
        <v>5</v>
      </c>
      <c r="T113" s="17" t="n">
        <v>5</v>
      </c>
      <c r="U113" s="17" t="n">
        <v>5</v>
      </c>
      <c r="V113" s="17" t="n">
        <v>4</v>
      </c>
      <c r="W113" s="17" t="n">
        <v>4</v>
      </c>
      <c r="X113" s="11"/>
      <c r="Y113" s="11"/>
      <c r="Z113" s="11"/>
      <c r="AA113" s="11"/>
      <c r="AB113" s="12" t="n">
        <v>0.4</v>
      </c>
      <c r="AC113" s="12" t="n">
        <v>0</v>
      </c>
      <c r="AD113" s="12" t="n">
        <v>3</v>
      </c>
      <c r="AE113" s="12" t="n">
        <v>1</v>
      </c>
    </row>
    <row r="114" customFormat="false" ht="15" hidden="false" customHeight="false" outlineLevel="0" collapsed="false">
      <c r="A114" s="11" t="s">
        <v>192</v>
      </c>
      <c r="B114" s="11" t="s">
        <v>191</v>
      </c>
      <c r="C114" s="11" t="s">
        <v>56</v>
      </c>
      <c r="D114" s="11" t="s">
        <v>38</v>
      </c>
      <c r="E114" s="12" t="n">
        <v>475</v>
      </c>
      <c r="F114" s="12" t="n">
        <v>400</v>
      </c>
      <c r="G114" s="12" t="n">
        <v>0.5</v>
      </c>
      <c r="H114" s="12" t="n">
        <v>800</v>
      </c>
      <c r="I114" s="12" t="n">
        <v>1000</v>
      </c>
      <c r="J114" s="12" t="n">
        <v>10000</v>
      </c>
      <c r="K114" s="13" t="str">
        <f aca="false">IFERROR(INDEX('Vitesse (calcul)'!$P$21:$P$153,MATCH($A114&amp;"|"&amp;$B114,'Vitesse (calcul)'!$A$21:$A$153,0)),"N/A")</f>
        <v>N/A</v>
      </c>
      <c r="L114" s="15" t="str">
        <f aca="false">IFERROR(INDEX('Vitesse (calcul)'!$S$21:$S$153,MATCH($A114&amp;"|"&amp;$B114,'Vitesse (calcul)'!$A$21:$A$153,0)),"N/A")</f>
        <v>N/A</v>
      </c>
      <c r="M114" s="11" t="s">
        <v>193</v>
      </c>
      <c r="N114" s="11"/>
      <c r="O114" s="11"/>
      <c r="P114" s="17" t="n">
        <v>5</v>
      </c>
      <c r="Q114" s="17" t="n">
        <v>4</v>
      </c>
      <c r="R114" s="17" t="n">
        <v>5</v>
      </c>
      <c r="S114" s="17" t="n">
        <v>4</v>
      </c>
      <c r="T114" s="17" t="n">
        <v>4</v>
      </c>
      <c r="U114" s="17" t="n">
        <v>5</v>
      </c>
      <c r="V114" s="17" t="n">
        <v>3</v>
      </c>
      <c r="W114" s="17" t="n">
        <v>2</v>
      </c>
      <c r="X114" s="11"/>
      <c r="Y114" s="11"/>
      <c r="Z114" s="11"/>
      <c r="AA114" s="11"/>
      <c r="AB114" s="12" t="n">
        <v>0.05</v>
      </c>
      <c r="AC114" s="12" t="n">
        <v>0</v>
      </c>
      <c r="AD114" s="12" t="n">
        <v>2</v>
      </c>
      <c r="AE114" s="12" t="n">
        <v>1</v>
      </c>
    </row>
    <row r="115" customFormat="false" ht="15" hidden="false" customHeight="false" outlineLevel="0" collapsed="false">
      <c r="A115" s="11" t="s">
        <v>163</v>
      </c>
      <c r="B115" s="11" t="s">
        <v>191</v>
      </c>
      <c r="C115" s="11" t="s">
        <v>64</v>
      </c>
      <c r="D115" s="11"/>
      <c r="E115" s="12" t="n">
        <v>625</v>
      </c>
      <c r="F115" s="12" t="n">
        <v>0</v>
      </c>
      <c r="G115" s="12" t="n">
        <v>6E-005</v>
      </c>
      <c r="H115" s="12" t="n">
        <v>0</v>
      </c>
      <c r="I115" s="11"/>
      <c r="J115" s="12" t="n">
        <v>2000</v>
      </c>
      <c r="K115" s="13" t="n">
        <f aca="false">IFERROR(INDEX('Vitesse (calcul)'!$P$21:$P$153,MATCH($A115&amp;"|"&amp;$B115,'Vitesse (calcul)'!$A$21:$A$153,0)),"N/A")</f>
        <v>790</v>
      </c>
      <c r="L115" s="15" t="n">
        <f aca="false">IFERROR(INDEX('Vitesse (calcul)'!$S$21:$S$153,MATCH($A115&amp;"|"&amp;$B115,'Vitesse (calcul)'!$A$21:$A$153,0)),"N/A")</f>
        <v>3.4</v>
      </c>
      <c r="M115" s="11"/>
      <c r="N115" s="11"/>
      <c r="O115" s="11"/>
      <c r="P115" s="17" t="n">
        <v>4</v>
      </c>
      <c r="Q115" s="17" t="n">
        <v>2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1</v>
      </c>
      <c r="Y115" s="11"/>
      <c r="Z115" s="11"/>
      <c r="AA115" s="11"/>
      <c r="AB115" s="11"/>
      <c r="AC115" s="11"/>
      <c r="AD115" s="11"/>
      <c r="AE115" s="11"/>
    </row>
    <row r="116" customFormat="false" ht="15" hidden="false" customHeight="false" outlineLevel="0" collapsed="false">
      <c r="A116" s="11" t="s">
        <v>194</v>
      </c>
      <c r="B116" s="11" t="s">
        <v>191</v>
      </c>
      <c r="C116" s="11" t="s">
        <v>195</v>
      </c>
      <c r="D116" s="11"/>
      <c r="E116" s="12" t="n">
        <v>350</v>
      </c>
      <c r="F116" s="11"/>
      <c r="G116" s="12" t="n">
        <v>0.03</v>
      </c>
      <c r="H116" s="11"/>
      <c r="I116" s="12" t="n">
        <v>1000</v>
      </c>
      <c r="J116" s="12" t="n">
        <v>10000</v>
      </c>
      <c r="K116" s="13" t="str">
        <f aca="false">IFERROR(INDEX('Vitesse (calcul)'!$P$21:$P$153,MATCH($A116&amp;"|"&amp;$B116,'Vitesse (calcul)'!$A$21:$A$153,0)),"N/A")</f>
        <v>N/A</v>
      </c>
      <c r="L116" s="15" t="str">
        <f aca="false">IFERROR(INDEX('Vitesse (calcul)'!$S$21:$S$153,MATCH($A116&amp;"|"&amp;$B116,'Vitesse (calcul)'!$A$21:$A$153,0)),"N/A")</f>
        <v>N/A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customFormat="false" ht="15" hidden="false" customHeight="false" outlineLevel="0" collapsed="false">
      <c r="A117" s="11" t="s">
        <v>196</v>
      </c>
      <c r="B117" s="11" t="s">
        <v>191</v>
      </c>
      <c r="C117" s="11" t="s">
        <v>97</v>
      </c>
      <c r="D117" s="11" t="s">
        <v>107</v>
      </c>
      <c r="E117" s="12" t="n">
        <v>600</v>
      </c>
      <c r="F117" s="12" t="n">
        <v>700</v>
      </c>
      <c r="G117" s="12" t="n">
        <v>8</v>
      </c>
      <c r="H117" s="12" t="n">
        <v>87.5</v>
      </c>
      <c r="I117" s="12" t="n">
        <v>5000</v>
      </c>
      <c r="J117" s="12" t="n">
        <v>250000</v>
      </c>
      <c r="K117" s="13" t="n">
        <f aca="false">IFERROR(INDEX('Vitesse (calcul)'!$P$21:$P$153,MATCH($A117&amp;"|"&amp;$B117,'Vitesse (calcul)'!$A$21:$A$153,0)),"N/A")</f>
        <v>2000</v>
      </c>
      <c r="L117" s="14" t="n">
        <f aca="false">IFERROR(INDEX('Vitesse (calcul)'!$S$21:$S$153,MATCH($A117&amp;"|"&amp;$B117,'Vitesse (calcul)'!$A$21:$A$153,0)),"N/A")</f>
        <v>9.5</v>
      </c>
      <c r="M117" s="11" t="s">
        <v>117</v>
      </c>
      <c r="N117" s="11"/>
      <c r="O117" s="11"/>
      <c r="P117" s="16" t="n">
        <v>5</v>
      </c>
      <c r="Q117" s="17" t="n">
        <v>4</v>
      </c>
      <c r="R117" s="17" t="n">
        <v>5</v>
      </c>
      <c r="S117" s="17" t="n">
        <v>4</v>
      </c>
      <c r="T117" s="17" t="n">
        <v>4</v>
      </c>
      <c r="U117" s="17" t="n">
        <v>5</v>
      </c>
      <c r="V117" s="17" t="n">
        <v>3</v>
      </c>
      <c r="W117" s="17" t="n">
        <v>3</v>
      </c>
      <c r="X117" s="11"/>
      <c r="Y117" s="11"/>
      <c r="Z117" s="11"/>
      <c r="AA117" s="11"/>
      <c r="AB117" s="12" t="n">
        <v>0.05</v>
      </c>
      <c r="AC117" s="12" t="n">
        <v>5</v>
      </c>
      <c r="AD117" s="12" t="n">
        <v>3</v>
      </c>
      <c r="AE117" s="12" t="n">
        <v>2</v>
      </c>
    </row>
    <row r="118" customFormat="false" ht="15" hidden="false" customHeight="false" outlineLevel="0" collapsed="false">
      <c r="A118" s="11" t="s">
        <v>197</v>
      </c>
      <c r="B118" s="11" t="s">
        <v>191</v>
      </c>
      <c r="C118" s="11" t="s">
        <v>97</v>
      </c>
      <c r="D118" s="11" t="s">
        <v>38</v>
      </c>
      <c r="E118" s="12" t="n">
        <v>1550</v>
      </c>
      <c r="F118" s="12" t="n">
        <v>10</v>
      </c>
      <c r="G118" s="12" t="n">
        <v>0.145</v>
      </c>
      <c r="H118" s="12" t="n">
        <v>68.9655172413793</v>
      </c>
      <c r="I118" s="12" t="n">
        <v>1000</v>
      </c>
      <c r="J118" s="12" t="n">
        <v>15000</v>
      </c>
      <c r="K118" s="13" t="n">
        <f aca="false">IFERROR(INDEX('Vitesse (calcul)'!$P$21:$P$153,MATCH($A118&amp;"|"&amp;$B118,'Vitesse (calcul)'!$A$21:$A$153,0)),"N/A")</f>
        <v>532.172954391966</v>
      </c>
      <c r="L118" s="14" t="n">
        <f aca="false">IFERROR(INDEX('Vitesse (calcul)'!$S$21:$S$153,MATCH($A118&amp;"|"&amp;$B118,'Vitesse (calcul)'!$A$21:$A$153,0)),"N/A")</f>
        <v>2.6</v>
      </c>
      <c r="M118" s="11" t="s">
        <v>103</v>
      </c>
      <c r="N118" s="11"/>
      <c r="O118" s="11"/>
      <c r="P118" s="17" t="n">
        <v>5</v>
      </c>
      <c r="Q118" s="17" t="n">
        <v>5</v>
      </c>
      <c r="R118" s="17" t="n">
        <v>3</v>
      </c>
      <c r="S118" s="17" t="n">
        <v>2</v>
      </c>
      <c r="T118" s="17" t="n">
        <v>0</v>
      </c>
      <c r="U118" s="17" t="n">
        <v>3</v>
      </c>
      <c r="V118" s="17" t="n">
        <v>1</v>
      </c>
      <c r="W118" s="17" t="n">
        <v>0</v>
      </c>
      <c r="X118" s="11"/>
      <c r="Y118" s="11"/>
      <c r="Z118" s="11"/>
      <c r="AA118" s="11"/>
      <c r="AB118" s="12" t="n">
        <v>0.02</v>
      </c>
      <c r="AC118" s="12" t="n">
        <v>1</v>
      </c>
      <c r="AD118" s="12" t="n">
        <v>2</v>
      </c>
      <c r="AE118" s="12" t="n">
        <v>1</v>
      </c>
    </row>
    <row r="119" customFormat="false" ht="15" hidden="false" customHeight="false" outlineLevel="0" collapsed="false">
      <c r="A119" s="11" t="s">
        <v>198</v>
      </c>
      <c r="B119" s="11" t="s">
        <v>191</v>
      </c>
      <c r="C119" s="11" t="s">
        <v>97</v>
      </c>
      <c r="D119" s="11" t="s">
        <v>107</v>
      </c>
      <c r="E119" s="12" t="n">
        <v>0</v>
      </c>
      <c r="F119" s="12" t="n">
        <v>50</v>
      </c>
      <c r="G119" s="12" t="n">
        <v>0.415</v>
      </c>
      <c r="H119" s="12" t="n">
        <v>120.481927710843</v>
      </c>
      <c r="I119" s="12" t="n">
        <v>1000</v>
      </c>
      <c r="J119" s="12" t="n">
        <v>30000</v>
      </c>
      <c r="K119" s="13" t="n">
        <f aca="false">IFERROR(INDEX('Vitesse (calcul)'!$P$21:$P$153,MATCH($A119&amp;"|"&amp;$B119,'Vitesse (calcul)'!$A$21:$A$153,0)),"N/A")</f>
        <v>183.597385602301</v>
      </c>
      <c r="L119" s="14" t="n">
        <f aca="false">IFERROR(INDEX('Vitesse (calcul)'!$S$21:$S$153,MATCH($A119&amp;"|"&amp;$B119,'Vitesse (calcul)'!$A$21:$A$153,0)),"N/A")</f>
        <v>1.2</v>
      </c>
      <c r="M119" s="11" t="s">
        <v>199</v>
      </c>
      <c r="N119" s="11"/>
      <c r="O119" s="11"/>
      <c r="P119" s="17" t="n">
        <v>5</v>
      </c>
      <c r="Q119" s="17" t="n">
        <v>0</v>
      </c>
      <c r="R119" s="17" t="n">
        <v>4</v>
      </c>
      <c r="S119" s="17" t="n">
        <v>3</v>
      </c>
      <c r="T119" s="17" t="n">
        <v>0</v>
      </c>
      <c r="U119" s="17" t="n">
        <v>4</v>
      </c>
      <c r="V119" s="17" t="n">
        <v>2</v>
      </c>
      <c r="W119" s="17" t="n">
        <v>0</v>
      </c>
      <c r="X119" s="11"/>
      <c r="Y119" s="11"/>
      <c r="Z119" s="11"/>
      <c r="AA119" s="11"/>
      <c r="AB119" s="12" t="n">
        <v>0.01</v>
      </c>
      <c r="AC119" s="12" t="n">
        <v>2</v>
      </c>
      <c r="AD119" s="12" t="n">
        <v>2</v>
      </c>
      <c r="AE119" s="12" t="n">
        <v>1</v>
      </c>
    </row>
    <row r="120" customFormat="false" ht="15" hidden="false" customHeight="false" outlineLevel="0" collapsed="false">
      <c r="A120" s="11" t="s">
        <v>114</v>
      </c>
      <c r="B120" s="11" t="s">
        <v>191</v>
      </c>
      <c r="C120" s="11" t="s">
        <v>97</v>
      </c>
      <c r="D120" s="11" t="s">
        <v>112</v>
      </c>
      <c r="E120" s="12" t="n">
        <v>0</v>
      </c>
      <c r="F120" s="12" t="n">
        <v>32</v>
      </c>
      <c r="G120" s="12" t="n">
        <v>0.39</v>
      </c>
      <c r="H120" s="12" t="n">
        <v>82.051282051282</v>
      </c>
      <c r="I120" s="12" t="n">
        <v>1000</v>
      </c>
      <c r="J120" s="12" t="n">
        <v>25000</v>
      </c>
      <c r="K120" s="13" t="n">
        <f aca="false">IFERROR(INDEX('Vitesse (calcul)'!$P$21:$P$153,MATCH($A120&amp;"|"&amp;$B120,'Vitesse (calcul)'!$A$21:$A$153,0)),"N/A")</f>
        <v>1156.87</v>
      </c>
      <c r="L120" s="14" t="n">
        <f aca="false">IFERROR(INDEX('Vitesse (calcul)'!$S$21:$S$153,MATCH($A120&amp;"|"&amp;$B120,'Vitesse (calcul)'!$A$21:$A$153,0)),"N/A")</f>
        <v>7.3</v>
      </c>
      <c r="M120" s="11" t="s">
        <v>115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customFormat="false" ht="15" hidden="false" customHeight="false" outlineLevel="0" collapsed="false">
      <c r="A121" s="11" t="s">
        <v>200</v>
      </c>
      <c r="B121" s="11" t="s">
        <v>191</v>
      </c>
      <c r="C121" s="11" t="s">
        <v>97</v>
      </c>
      <c r="D121" s="11" t="s">
        <v>201</v>
      </c>
      <c r="E121" s="12" t="n">
        <v>3000</v>
      </c>
      <c r="F121" s="12" t="n">
        <v>750</v>
      </c>
      <c r="G121" s="12" t="n">
        <v>65</v>
      </c>
      <c r="H121" s="12" t="n">
        <v>11.5384615384615</v>
      </c>
      <c r="I121" s="12" t="n">
        <v>10000</v>
      </c>
      <c r="J121" s="12" t="n">
        <v>100000</v>
      </c>
      <c r="K121" s="13" t="n">
        <f aca="false">IFERROR(INDEX('Vitesse (calcul)'!$P$21:$P$153,MATCH($A121&amp;"|"&amp;$B121,'Vitesse (calcul)'!$A$21:$A$153,0)),"N/A")</f>
        <v>2000</v>
      </c>
      <c r="L121" s="14" t="n">
        <f aca="false">IFERROR(INDEX('Vitesse (calcul)'!$S$21:$S$153,MATCH($A121&amp;"|"&amp;$B121,'Vitesse (calcul)'!$A$21:$A$153,0)),"N/A")</f>
        <v>9.5</v>
      </c>
      <c r="M121" s="11" t="s">
        <v>202</v>
      </c>
      <c r="N121" s="11"/>
      <c r="O121" s="11"/>
      <c r="P121" s="16" t="n">
        <v>5</v>
      </c>
      <c r="Q121" s="17" t="n">
        <v>5</v>
      </c>
      <c r="R121" s="17" t="n">
        <v>5</v>
      </c>
      <c r="S121" s="17" t="n">
        <v>4</v>
      </c>
      <c r="T121" s="17" t="n">
        <v>5</v>
      </c>
      <c r="U121" s="17" t="n">
        <v>5</v>
      </c>
      <c r="V121" s="17" t="n">
        <v>3</v>
      </c>
      <c r="W121" s="17" t="n">
        <v>3</v>
      </c>
      <c r="X121" s="11"/>
      <c r="Y121" s="11"/>
      <c r="Z121" s="11"/>
      <c r="AA121" s="11"/>
      <c r="AB121" s="12" t="n">
        <v>0.1</v>
      </c>
      <c r="AC121" s="12" t="n">
        <v>5</v>
      </c>
      <c r="AD121" s="12" t="n">
        <v>4</v>
      </c>
      <c r="AE121" s="12" t="n">
        <v>2</v>
      </c>
    </row>
    <row r="122" customFormat="false" ht="15" hidden="false" customHeight="false" outlineLevel="0" collapsed="false">
      <c r="A122" s="11" t="s">
        <v>203</v>
      </c>
      <c r="B122" s="11" t="s">
        <v>191</v>
      </c>
      <c r="C122" s="11" t="s">
        <v>97</v>
      </c>
      <c r="D122" s="11" t="s">
        <v>125</v>
      </c>
      <c r="E122" s="12" t="n">
        <v>425</v>
      </c>
      <c r="F122" s="12" t="n">
        <v>7.5</v>
      </c>
      <c r="G122" s="12" t="n">
        <v>0.325</v>
      </c>
      <c r="H122" s="12" t="n">
        <v>23.0769230769231</v>
      </c>
      <c r="I122" s="12" t="n">
        <v>500</v>
      </c>
      <c r="J122" s="12" t="n">
        <v>5000</v>
      </c>
      <c r="K122" s="13" t="n">
        <f aca="false">IFERROR(INDEX('Vitesse (calcul)'!$P$21:$P$153,MATCH($A122&amp;"|"&amp;$B122,'Vitesse (calcul)'!$A$21:$A$153,0)),"N/A")</f>
        <v>2000</v>
      </c>
      <c r="L122" s="14" t="n">
        <f aca="false">IFERROR(INDEX('Vitesse (calcul)'!$S$21:$S$153,MATCH($A122&amp;"|"&amp;$B122,'Vitesse (calcul)'!$A$21:$A$153,0)),"N/A")</f>
        <v>9.5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7" t="n">
        <v>4</v>
      </c>
      <c r="Y122" s="17" t="n">
        <v>4</v>
      </c>
      <c r="Z122" s="17" t="n">
        <v>3</v>
      </c>
      <c r="AA122" s="11"/>
      <c r="AB122" s="11"/>
      <c r="AC122" s="11"/>
      <c r="AD122" s="11"/>
      <c r="AE122" s="11"/>
    </row>
    <row r="123" customFormat="false" ht="15" hidden="false" customHeight="false" outlineLevel="0" collapsed="false">
      <c r="A123" s="11" t="s">
        <v>204</v>
      </c>
      <c r="B123" s="11" t="s">
        <v>191</v>
      </c>
      <c r="C123" s="11" t="s">
        <v>97</v>
      </c>
      <c r="D123" s="11" t="s">
        <v>125</v>
      </c>
      <c r="E123" s="12" t="n">
        <v>450</v>
      </c>
      <c r="F123" s="12" t="n">
        <v>10</v>
      </c>
      <c r="G123" s="12" t="n">
        <v>0.5</v>
      </c>
      <c r="H123" s="12" t="n">
        <v>20</v>
      </c>
      <c r="I123" s="12" t="n">
        <v>500</v>
      </c>
      <c r="J123" s="12" t="n">
        <v>20000</v>
      </c>
      <c r="K123" s="13" t="n">
        <f aca="false">IFERROR(INDEX('Vitesse (calcul)'!$P$21:$P$153,MATCH($A123&amp;"|"&amp;$B123,'Vitesse (calcul)'!$A$21:$A$153,0)),"N/A")</f>
        <v>2000</v>
      </c>
      <c r="L123" s="14" t="n">
        <f aca="false">IFERROR(INDEX('Vitesse (calcul)'!$S$21:$S$153,MATCH($A123&amp;"|"&amp;$B123,'Vitesse (calcul)'!$A$21:$A$153,0)),"N/A")</f>
        <v>9.5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7" t="n">
        <v>4</v>
      </c>
      <c r="Y123" s="17" t="n">
        <v>4</v>
      </c>
      <c r="Z123" s="17" t="n">
        <v>3</v>
      </c>
      <c r="AA123" s="11"/>
      <c r="AB123" s="11"/>
      <c r="AC123" s="11"/>
      <c r="AD123" s="11"/>
      <c r="AE123" s="11"/>
    </row>
    <row r="124" customFormat="false" ht="15" hidden="false" customHeight="false" outlineLevel="0" collapsed="false">
      <c r="A124" s="11" t="s">
        <v>205</v>
      </c>
      <c r="B124" s="11" t="s">
        <v>191</v>
      </c>
      <c r="C124" s="11" t="s">
        <v>97</v>
      </c>
      <c r="D124" s="11" t="s">
        <v>206</v>
      </c>
      <c r="E124" s="12" t="n">
        <v>10000</v>
      </c>
      <c r="F124" s="12" t="n">
        <v>50000</v>
      </c>
      <c r="G124" s="12" t="n">
        <v>7.5</v>
      </c>
      <c r="H124" s="12" t="n">
        <v>6666.66666666667</v>
      </c>
      <c r="I124" s="12" t="n">
        <v>2000</v>
      </c>
      <c r="J124" s="12" t="n">
        <v>100000</v>
      </c>
      <c r="K124" s="13" t="n">
        <f aca="false">IFERROR(INDEX('Vitesse (calcul)'!$P$21:$P$153,MATCH($A124&amp;"|"&amp;$B124,'Vitesse (calcul)'!$A$21:$A$153,0)),"N/A")</f>
        <v>2000</v>
      </c>
      <c r="L124" s="14" t="n">
        <f aca="false">IFERROR(INDEX('Vitesse (calcul)'!$S$21:$S$153,MATCH($A124&amp;"|"&amp;$B124,'Vitesse (calcul)'!$A$21:$A$153,0)),"N/A")</f>
        <v>9.5</v>
      </c>
      <c r="M124" s="11" t="s">
        <v>207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customFormat="false" ht="15" hidden="false" customHeight="false" outlineLevel="0" collapsed="false">
      <c r="A125" s="11" t="s">
        <v>208</v>
      </c>
      <c r="B125" s="11" t="s">
        <v>191</v>
      </c>
      <c r="C125" s="11" t="s">
        <v>138</v>
      </c>
      <c r="D125" s="11" t="s">
        <v>201</v>
      </c>
      <c r="E125" s="12" t="n">
        <v>3000</v>
      </c>
      <c r="F125" s="12" t="n">
        <v>20000000</v>
      </c>
      <c r="G125" s="12" t="n">
        <v>80</v>
      </c>
      <c r="H125" s="12" t="n">
        <v>250000</v>
      </c>
      <c r="I125" s="12" t="n">
        <v>8000</v>
      </c>
      <c r="J125" s="12" t="n">
        <v>100000</v>
      </c>
      <c r="K125" s="13" t="n">
        <f aca="false">IFERROR(INDEX('Vitesse (calcul)'!$P$21:$P$153,MATCH($A125&amp;"|"&amp;$B125,'Vitesse (calcul)'!$A$21:$A$153,0)),"N/A")</f>
        <v>2000</v>
      </c>
      <c r="L125" s="14" t="n">
        <f aca="false">IFERROR(INDEX('Vitesse (calcul)'!$S$21:$S$153,MATCH($A125&amp;"|"&amp;$B125,'Vitesse (calcul)'!$A$21:$A$153,0)),"N/A")</f>
        <v>9.5</v>
      </c>
      <c r="M125" s="11" t="s">
        <v>202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customFormat="false" ht="15" hidden="false" customHeight="false" outlineLevel="0" collapsed="false">
      <c r="A126" s="11" t="s">
        <v>209</v>
      </c>
      <c r="B126" s="11" t="s">
        <v>191</v>
      </c>
      <c r="C126" s="11" t="s">
        <v>138</v>
      </c>
      <c r="D126" s="11" t="s">
        <v>38</v>
      </c>
      <c r="E126" s="12" t="n">
        <v>1500</v>
      </c>
      <c r="F126" s="12" t="n">
        <v>1500000</v>
      </c>
      <c r="G126" s="12" t="n">
        <v>30</v>
      </c>
      <c r="H126" s="12" t="n">
        <v>50000</v>
      </c>
      <c r="I126" s="12" t="n">
        <v>3000</v>
      </c>
      <c r="J126" s="12" t="n">
        <v>60000</v>
      </c>
      <c r="K126" s="13" t="n">
        <f aca="false">IFERROR(INDEX('Vitesse (calcul)'!$P$21:$P$153,MATCH($A126&amp;"|"&amp;$B126,'Vitesse (calcul)'!$A$21:$A$153,0)),"N/A")</f>
        <v>907.924172329128</v>
      </c>
      <c r="L126" s="14" t="n">
        <f aca="false">IFERROR(INDEX('Vitesse (calcul)'!$S$21:$S$153,MATCH($A126&amp;"|"&amp;$B126,'Vitesse (calcul)'!$A$21:$A$153,0)),"N/A")</f>
        <v>4.9</v>
      </c>
      <c r="M126" s="11" t="s">
        <v>136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customFormat="false" ht="15" hidden="false" customHeight="false" outlineLevel="0" collapsed="false">
      <c r="A127" s="11" t="s">
        <v>210</v>
      </c>
      <c r="B127" s="11" t="s">
        <v>191</v>
      </c>
      <c r="C127" s="11" t="s">
        <v>211</v>
      </c>
      <c r="D127" s="11"/>
      <c r="E127" s="11"/>
      <c r="F127" s="11"/>
      <c r="G127" s="12" t="n">
        <v>0</v>
      </c>
      <c r="H127" s="11"/>
      <c r="I127" s="11"/>
      <c r="J127" s="11"/>
      <c r="K127" s="18" t="str">
        <f aca="false">IFERROR(INDEX('Vitesse (calcul)'!$P$21:$P$153,MATCH($A127&amp;"|"&amp;$B127,'Vitesse (calcul)'!$A$21:$A$153,0)),"N/A")</f>
        <v>N/A</v>
      </c>
      <c r="L127" s="15" t="str">
        <f aca="false">IFERROR(INDEX('Vitesse (calcul)'!$S$21:$S$153,MATCH($A127&amp;"|"&amp;$B127,'Vitesse (calcul)'!$A$21:$A$153,0)),"N/A")</f>
        <v>N/A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customFormat="false" ht="15" hidden="false" customHeight="false" outlineLevel="0" collapsed="false">
      <c r="A128" s="11" t="s">
        <v>212</v>
      </c>
      <c r="B128" s="11" t="s">
        <v>191</v>
      </c>
      <c r="C128" s="11" t="s">
        <v>213</v>
      </c>
      <c r="D128" s="11"/>
      <c r="E128" s="11"/>
      <c r="F128" s="11"/>
      <c r="G128" s="12" t="n">
        <v>0</v>
      </c>
      <c r="H128" s="11"/>
      <c r="I128" s="11"/>
      <c r="J128" s="11"/>
      <c r="K128" s="18" t="str">
        <f aca="false">IFERROR(INDEX('Vitesse (calcul)'!$P$21:$P$153,MATCH($A128&amp;"|"&amp;$B128,'Vitesse (calcul)'!$A$21:$A$153,0)),"N/A")</f>
        <v>N/A</v>
      </c>
      <c r="L128" s="15" t="str">
        <f aca="false">IFERROR(INDEX('Vitesse (calcul)'!$S$21:$S$153,MATCH($A128&amp;"|"&amp;$B128,'Vitesse (calcul)'!$A$21:$A$153,0)),"N/A")</f>
        <v>N/A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customFormat="false" ht="15" hidden="false" customHeight="false" outlineLevel="0" collapsed="false">
      <c r="A129" s="11" t="s">
        <v>214</v>
      </c>
      <c r="B129" s="11" t="s">
        <v>191</v>
      </c>
      <c r="C129" s="11" t="s">
        <v>213</v>
      </c>
      <c r="D129" s="11"/>
      <c r="E129" s="11"/>
      <c r="F129" s="11"/>
      <c r="G129" s="12" t="n">
        <v>0</v>
      </c>
      <c r="H129" s="11"/>
      <c r="I129" s="11"/>
      <c r="J129" s="11"/>
      <c r="K129" s="18" t="str">
        <f aca="false">IFERROR(INDEX('Vitesse (calcul)'!$P$21:$P$153,MATCH($A129&amp;"|"&amp;$B129,'Vitesse (calcul)'!$A$21:$A$153,0)),"N/A")</f>
        <v>N/A</v>
      </c>
      <c r="L129" s="15" t="str">
        <f aca="false">IFERROR(INDEX('Vitesse (calcul)'!$S$21:$S$153,MATCH($A129&amp;"|"&amp;$B129,'Vitesse (calcul)'!$A$21:$A$153,0)),"N/A")</f>
        <v>N/A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customFormat="false" ht="15" hidden="false" customHeight="false" outlineLevel="0" collapsed="false">
      <c r="A130" s="11" t="s">
        <v>215</v>
      </c>
      <c r="B130" s="11" t="s">
        <v>191</v>
      </c>
      <c r="C130" s="11" t="s">
        <v>147</v>
      </c>
      <c r="D130" s="11" t="s">
        <v>148</v>
      </c>
      <c r="E130" s="12" t="n">
        <v>1900</v>
      </c>
      <c r="F130" s="12" t="n">
        <v>55</v>
      </c>
      <c r="G130" s="12" t="n">
        <v>0.15</v>
      </c>
      <c r="H130" s="12" t="n">
        <v>366.666666666667</v>
      </c>
      <c r="I130" s="12" t="n">
        <v>500</v>
      </c>
      <c r="J130" s="12" t="n">
        <v>12500</v>
      </c>
      <c r="K130" s="13" t="n">
        <f aca="false">IFERROR(INDEX('Vitesse (calcul)'!$P$21:$P$153,MATCH($A130&amp;"|"&amp;$B130,'Vitesse (calcul)'!$A$21:$A$153,0)),"N/A")</f>
        <v>877</v>
      </c>
      <c r="L130" s="14" t="n">
        <f aca="false">IFERROR(INDEX('Vitesse (calcul)'!$S$21:$S$153,MATCH($A130&amp;"|"&amp;$B130,'Vitesse (calcul)'!$A$21:$A$153,0)),"N/A")</f>
        <v>4.7</v>
      </c>
      <c r="M130" s="11"/>
      <c r="N130" s="11"/>
      <c r="O130" s="11"/>
      <c r="P130" s="17" t="n">
        <v>5</v>
      </c>
      <c r="Q130" s="17" t="n">
        <v>5</v>
      </c>
      <c r="R130" s="17" t="n">
        <v>4</v>
      </c>
      <c r="S130" s="17" t="n">
        <v>3</v>
      </c>
      <c r="T130" s="17" t="n">
        <v>0</v>
      </c>
      <c r="U130" s="17" t="n">
        <v>4</v>
      </c>
      <c r="V130" s="17" t="n">
        <v>2</v>
      </c>
      <c r="W130" s="17" t="n">
        <v>0</v>
      </c>
      <c r="X130" s="11"/>
      <c r="Y130" s="11"/>
      <c r="Z130" s="11"/>
      <c r="AA130" s="11"/>
      <c r="AB130" s="12" t="n">
        <v>0.01</v>
      </c>
      <c r="AC130" s="12" t="n">
        <v>2</v>
      </c>
      <c r="AD130" s="12" t="n">
        <v>2</v>
      </c>
      <c r="AE130" s="12" t="n">
        <v>1</v>
      </c>
    </row>
    <row r="131" customFormat="false" ht="15" hidden="false" customHeight="false" outlineLevel="0" collapsed="false">
      <c r="A131" s="11" t="s">
        <v>216</v>
      </c>
      <c r="B131" s="11" t="s">
        <v>191</v>
      </c>
      <c r="C131" s="11" t="s">
        <v>217</v>
      </c>
      <c r="D131" s="11"/>
      <c r="E131" s="11"/>
      <c r="F131" s="11"/>
      <c r="G131" s="12" t="n">
        <v>0.001</v>
      </c>
      <c r="H131" s="11"/>
      <c r="I131" s="11"/>
      <c r="J131" s="11"/>
      <c r="K131" s="18" t="str">
        <f aca="false">IFERROR(INDEX('Vitesse (calcul)'!$P$21:$P$153,MATCH($A131&amp;"|"&amp;$B131,'Vitesse (calcul)'!$A$21:$A$153,0)),"N/A")</f>
        <v>N/A</v>
      </c>
      <c r="L131" s="15" t="str">
        <f aca="false">IFERROR(INDEX('Vitesse (calcul)'!$S$21:$S$153,MATCH($A131&amp;"|"&amp;$B131,'Vitesse (calcul)'!$A$21:$A$153,0)),"N/A")</f>
        <v>N/A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customFormat="false" ht="15" hidden="false" customHeight="false" outlineLevel="0" collapsed="false">
      <c r="A132" s="11" t="s">
        <v>218</v>
      </c>
      <c r="B132" s="11" t="s">
        <v>191</v>
      </c>
      <c r="C132" s="11" t="s">
        <v>217</v>
      </c>
      <c r="D132" s="11"/>
      <c r="E132" s="11"/>
      <c r="F132" s="11"/>
      <c r="G132" s="12" t="n">
        <v>0.001</v>
      </c>
      <c r="H132" s="11"/>
      <c r="I132" s="11"/>
      <c r="J132" s="11"/>
      <c r="K132" s="18" t="str">
        <f aca="false">IFERROR(INDEX('Vitesse (calcul)'!$P$21:$P$153,MATCH($A132&amp;"|"&amp;$B132,'Vitesse (calcul)'!$A$21:$A$153,0)),"N/A")</f>
        <v>N/A</v>
      </c>
      <c r="L132" s="15" t="str">
        <f aca="false">IFERROR(INDEX('Vitesse (calcul)'!$S$21:$S$153,MATCH($A132&amp;"|"&amp;$B132,'Vitesse (calcul)'!$A$21:$A$153,0)),"N/A")</f>
        <v>N/A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customFormat="false" ht="15" hidden="false" customHeight="false" outlineLevel="0" collapsed="false">
      <c r="A133" s="11" t="s">
        <v>219</v>
      </c>
      <c r="B133" s="11" t="s">
        <v>191</v>
      </c>
      <c r="C133" s="11" t="s">
        <v>217</v>
      </c>
      <c r="D133" s="11"/>
      <c r="E133" s="11"/>
      <c r="F133" s="11"/>
      <c r="G133" s="12" t="n">
        <v>0.001</v>
      </c>
      <c r="H133" s="11"/>
      <c r="I133" s="11"/>
      <c r="J133" s="11"/>
      <c r="K133" s="18" t="str">
        <f aca="false">IFERROR(INDEX('Vitesse (calcul)'!$P$21:$P$153,MATCH($A133&amp;"|"&amp;$B133,'Vitesse (calcul)'!$A$21:$A$153,0)),"N/A")</f>
        <v>N/A</v>
      </c>
      <c r="L133" s="15" t="str">
        <f aca="false">IFERROR(INDEX('Vitesse (calcul)'!$S$21:$S$153,MATCH($A133&amp;"|"&amp;$B133,'Vitesse (calcul)'!$A$21:$A$153,0)),"N/A")</f>
        <v>N/A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customFormat="false" ht="15" hidden="false" customHeight="false" outlineLevel="0" collapsed="false">
      <c r="A134" s="11" t="s">
        <v>220</v>
      </c>
      <c r="B134" s="11" t="s">
        <v>221</v>
      </c>
      <c r="C134" s="11" t="s">
        <v>64</v>
      </c>
      <c r="D134" s="11"/>
      <c r="E134" s="12" t="n">
        <v>400</v>
      </c>
      <c r="F134" s="12" t="n">
        <v>0.01</v>
      </c>
      <c r="G134" s="12" t="n">
        <v>3E-005</v>
      </c>
      <c r="H134" s="12" t="n">
        <v>333.333333333333</v>
      </c>
      <c r="I134" s="11"/>
      <c r="J134" s="12" t="n">
        <v>2000</v>
      </c>
      <c r="K134" s="13" t="n">
        <f aca="false">IFERROR(INDEX('Vitesse (calcul)'!$P$21:$P$153,MATCH($A134&amp;"|"&amp;$B134,'Vitesse (calcul)'!$A$21:$A$153,0)),"N/A")</f>
        <v>1100</v>
      </c>
      <c r="L134" s="15" t="n">
        <f aca="false">IFERROR(INDEX('Vitesse (calcul)'!$S$21:$S$153,MATCH($A134&amp;"|"&amp;$B134,'Vitesse (calcul)'!$A$21:$A$153,0)),"N/A")</f>
        <v>7.1</v>
      </c>
      <c r="M134" s="11"/>
      <c r="N134" s="11"/>
      <c r="O134" s="11"/>
      <c r="P134" s="17" t="n">
        <v>3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1</v>
      </c>
      <c r="Y134" s="17" t="n">
        <v>0</v>
      </c>
      <c r="Z134" s="17" t="n">
        <v>0</v>
      </c>
      <c r="AA134" s="11"/>
      <c r="AB134" s="11"/>
      <c r="AC134" s="11"/>
      <c r="AD134" s="11"/>
      <c r="AE134" s="11"/>
    </row>
    <row r="135" customFormat="false" ht="15" hidden="false" customHeight="false" outlineLevel="0" collapsed="false">
      <c r="A135" s="11" t="s">
        <v>222</v>
      </c>
      <c r="B135" s="11" t="s">
        <v>221</v>
      </c>
      <c r="C135" s="11" t="s">
        <v>151</v>
      </c>
      <c r="D135" s="11"/>
      <c r="E135" s="11"/>
      <c r="F135" s="11"/>
      <c r="G135" s="12" t="n">
        <v>0</v>
      </c>
      <c r="H135" s="11"/>
      <c r="I135" s="11"/>
      <c r="J135" s="12" t="n">
        <v>15000</v>
      </c>
      <c r="K135" s="13" t="str">
        <f aca="false">IFERROR(INDEX('Vitesse (calcul)'!$P$21:$P$153,MATCH($A135&amp;"|"&amp;$B135,'Vitesse (calcul)'!$A$21:$A$153,0)),"N/A")</f>
        <v>N/A</v>
      </c>
      <c r="L135" s="15" t="str">
        <f aca="false">IFERROR(INDEX('Vitesse (calcul)'!$S$21:$S$153,MATCH($A135&amp;"|"&amp;$B135,'Vitesse (calcul)'!$A$21:$A$153,0)),"N/A")</f>
        <v>N/A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</sheetData>
  <autoFilter ref="A2:AE135"/>
  <mergeCells count="4">
    <mergeCell ref="D1:O1"/>
    <mergeCell ref="P1:W1"/>
    <mergeCell ref="X1:AA1"/>
    <mergeCell ref="AB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0" topLeftCell="C21" activePane="bottomRight" state="frozen"/>
      <selection pane="topLeft" activeCell="A1" activeCellId="0" sqref="A1"/>
      <selection pane="topRight" activeCell="C1" activeCellId="0" sqref="C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9" min="6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34"/>
    <col collapsed="false" customWidth="true" hidden="false" outlineLevel="0" max="18" min="18" style="0" width="15"/>
    <col collapsed="false" customWidth="true" hidden="false" outlineLevel="0" max="19" min="19" style="0" width="9"/>
    <col collapsed="false" customWidth="true" hidden="false" outlineLevel="0" max="20" min="20" style="0" width="10"/>
  </cols>
  <sheetData>
    <row r="1" customFormat="false" ht="15" hidden="false" customHeight="false" outlineLevel="0" collapsed="false">
      <c r="A1" s="19" t="s">
        <v>223</v>
      </c>
    </row>
    <row r="3" customFormat="false" ht="15" hidden="false" customHeight="false" outlineLevel="0" collapsed="false">
      <c r="A3" s="20" t="s">
        <v>224</v>
      </c>
    </row>
    <row r="4" customFormat="false" ht="15" hidden="false" customHeight="false" outlineLevel="0" collapsed="false">
      <c r="A4" s="21" t="s">
        <v>225</v>
      </c>
      <c r="B4" s="22" t="n">
        <v>1250</v>
      </c>
      <c r="C4" s="23" t="s">
        <v>226</v>
      </c>
    </row>
    <row r="5" customFormat="false" ht="15" hidden="false" customHeight="false" outlineLevel="0" collapsed="false">
      <c r="A5" s="21" t="s">
        <v>227</v>
      </c>
      <c r="B5" s="22" t="n">
        <v>2000</v>
      </c>
      <c r="C5" s="23" t="s">
        <v>228</v>
      </c>
    </row>
    <row r="6" customFormat="false" ht="15" hidden="false" customHeight="false" outlineLevel="0" collapsed="false">
      <c r="A6" s="21" t="s">
        <v>229</v>
      </c>
      <c r="B6" s="22" t="n">
        <v>5.3</v>
      </c>
      <c r="C6" s="23" t="s">
        <v>230</v>
      </c>
    </row>
    <row r="7" customFormat="false" ht="15" hidden="false" customHeight="false" outlineLevel="0" collapsed="false">
      <c r="A7" s="21" t="s">
        <v>231</v>
      </c>
      <c r="B7" s="22" t="n">
        <v>100</v>
      </c>
      <c r="C7" s="23" t="s">
        <v>232</v>
      </c>
    </row>
    <row r="8" customFormat="false" ht="15" hidden="false" customHeight="false" outlineLevel="0" collapsed="false">
      <c r="A8" s="21" t="s">
        <v>233</v>
      </c>
      <c r="B8" s="22" t="n">
        <v>1.5</v>
      </c>
      <c r="C8" s="23"/>
    </row>
    <row r="9" customFormat="false" ht="15" hidden="false" customHeight="false" outlineLevel="0" collapsed="false">
      <c r="A9" s="21" t="s">
        <v>234</v>
      </c>
      <c r="B9" s="22" t="n">
        <v>9.81</v>
      </c>
      <c r="C9" s="23"/>
    </row>
    <row r="10" customFormat="false" ht="15" hidden="false" customHeight="false" outlineLevel="0" collapsed="false">
      <c r="A10" s="21" t="s">
        <v>235</v>
      </c>
      <c r="B10" s="22" t="n">
        <v>1</v>
      </c>
      <c r="C10" s="23" t="s">
        <v>236</v>
      </c>
    </row>
    <row r="12" customFormat="false" ht="15" hidden="false" customHeight="true" outlineLevel="0" collapsed="false">
      <c r="A12" s="24" t="s">
        <v>237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customFormat="false" ht="42" hidden="false" customHeight="true" outlineLevel="0" collapsed="false">
      <c r="A13" s="25" t="s">
        <v>238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customFormat="false" ht="42" hidden="false" customHeight="true" outlineLevel="0" collapsed="false">
      <c r="A14" s="25" t="s">
        <v>239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customFormat="false" ht="42" hidden="false" customHeight="true" outlineLevel="0" collapsed="false">
      <c r="A15" s="25" t="s">
        <v>240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customFormat="false" ht="42" hidden="false" customHeight="true" outlineLevel="0" collapsed="false">
      <c r="A16" s="25" t="s">
        <v>241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customFormat="false" ht="42" hidden="false" customHeight="true" outlineLevel="0" collapsed="false">
      <c r="A17" s="25" t="s">
        <v>242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20" customFormat="false" ht="45" hidden="false" customHeight="true" outlineLevel="0" collapsed="false">
      <c r="A20" s="26" t="s">
        <v>243</v>
      </c>
      <c r="B20" s="26" t="s">
        <v>4</v>
      </c>
      <c r="C20" s="26" t="s">
        <v>5</v>
      </c>
      <c r="D20" s="26" t="s">
        <v>6</v>
      </c>
      <c r="E20" s="26" t="s">
        <v>244</v>
      </c>
      <c r="F20" s="26" t="s">
        <v>245</v>
      </c>
      <c r="G20" s="26" t="s">
        <v>246</v>
      </c>
      <c r="H20" s="26" t="s">
        <v>247</v>
      </c>
      <c r="I20" s="26" t="s">
        <v>248</v>
      </c>
      <c r="J20" s="26" t="s">
        <v>249</v>
      </c>
      <c r="K20" s="26" t="s">
        <v>250</v>
      </c>
      <c r="L20" s="26" t="s">
        <v>251</v>
      </c>
      <c r="M20" s="26" t="s">
        <v>252</v>
      </c>
      <c r="N20" s="26" t="s">
        <v>253</v>
      </c>
      <c r="O20" s="26" t="s">
        <v>254</v>
      </c>
      <c r="P20" s="26" t="s">
        <v>255</v>
      </c>
      <c r="Q20" s="26" t="s">
        <v>256</v>
      </c>
      <c r="R20" s="26" t="s">
        <v>257</v>
      </c>
      <c r="S20" s="26" t="s">
        <v>258</v>
      </c>
      <c r="T20" s="26" t="s">
        <v>259</v>
      </c>
    </row>
    <row r="21" customFormat="false" ht="15" hidden="false" customHeight="false" outlineLevel="0" collapsed="false">
      <c r="A21" s="0" t="str">
        <f aca="false">B21&amp;"|"&amp;C21</f>
        <v>??? (variante 3)|Jeu de base</v>
      </c>
      <c r="B21" s="0" t="s">
        <v>35</v>
      </c>
      <c r="C21" s="0" t="s">
        <v>36</v>
      </c>
      <c r="D21" s="0" t="s">
        <v>37</v>
      </c>
      <c r="E21" s="0" t="str">
        <f aca="false">IF(ISNUMBER(G21),"propulsé",IF(D21="Canon / mitrailleuse / lance-grenade","arme à feu","autre"))</f>
        <v>propulsé</v>
      </c>
      <c r="F21" s="27" t="n">
        <v>10</v>
      </c>
      <c r="G21" s="28" t="n">
        <v>31000</v>
      </c>
      <c r="H21" s="29" t="n">
        <v>15</v>
      </c>
      <c r="I21" s="27" t="n">
        <v>3</v>
      </c>
      <c r="J21" s="28" t="n">
        <v>100</v>
      </c>
      <c r="K21" s="30" t="n">
        <v>597.88</v>
      </c>
      <c r="L21" s="30"/>
      <c r="M21" s="31" t="n">
        <f aca="false">IF(AND(ISNUMBER(G21),ISNUMBER(H21),ISNUMBER(I21),ISNUMBER(F21)),IF(AND(G21&gt;0,H21&gt;0,I21&gt;0,F21&gt;I21),G21*H21/I21*LN(F21/(F21-I21)),"N/A"),"N/A")</f>
        <v>55284.6163105035</v>
      </c>
      <c r="N21" s="0" t="str">
        <f aca="false">IF(ISNUMBER(M21),IF(AND(H21&gt;=$B$7,G21/(F21*$B$9)&lt;$B$8),"croisière","fusée"),"N/A")</f>
        <v>fusée</v>
      </c>
      <c r="O21" s="32" t="n">
        <f aca="false">IF(N21="fusée",MIN(M21,IF(C21="Jeu de base",$B$4,$B$5)),IF(N21="croisière",$B$6*SQRT(G21),"N/A"))</f>
        <v>1250</v>
      </c>
      <c r="P21" s="32" t="n">
        <f aca="false">IF(E21="propulsé",IF(ISNUMBER(O21),IF(AND(ISNUMBER(K21),ISNUMBER(L21)),MEDIAN(K21,L21,O21),IF(ISNUMBER(L21),L21,IF(ISNUMBER(K21),K21,O21))),IF(ISNUMBER(K21),K21,"N/A")),IF(E21="arme à feu",IF(ISNUMBER(J21),IF(ISNUMBER(K21),MIN(J21,K21),J21),"N/A"),"N/A"))</f>
        <v>597.88</v>
      </c>
      <c r="Q21" s="0" t="str">
        <f aca="false">IF(NOT(ISNUMBER(P21)),"aucune vitesse définie",IF(E21="arme à feu",IF(AND(ISNUMBER(K21),ISNUMBER(J21),K21&lt;J21),"vitesse max fixée (inférieure à la bouche)","vitesse initiale (bouche)"),IF(AND(ISNUMBER(K21),ISNUMBER(L21)),"médiane fichier / wiki / calcul",IF(ISNUMBER(L21),"wiki Delta-V",IF(ISNUMBER(K21),"vitesse fixée du fichier","calcul ("&amp;N21&amp;IF(AND(N21="fusée",M21&gt;O21),", plafonné","")&amp;")")))))</f>
        <v>vitesse fixée du fichier</v>
      </c>
      <c r="R21" s="32" t="n">
        <f aca="false">IF(ISNUMBER(P21),IF(E21="arme à feu",IF($B$10=1,P21,"N/A"),P21),"N/A")</f>
        <v>597.88</v>
      </c>
      <c r="S21" s="33" t="n">
        <f aca="false">IF(ISNUMBER(R21),ROUND(1+9*(SUMPRODUCT(ISNUMBER($R$21:$R$153)*($R$21:$R$153&lt;=R21))-1)/(COUNT($R$21:$R$153)-1),1),"N/A")</f>
        <v>2.7</v>
      </c>
      <c r="T21" s="34" t="n">
        <v>10</v>
      </c>
    </row>
    <row r="22" customFormat="false" ht="15" hidden="false" customHeight="false" outlineLevel="0" collapsed="false">
      <c r="A22" s="0" t="str">
        <f aca="false">B22&amp;"|"&amp;C22</f>
        <v>GS25|Jeu de base</v>
      </c>
      <c r="B22" s="0" t="s">
        <v>40</v>
      </c>
      <c r="C22" s="0" t="s">
        <v>36</v>
      </c>
      <c r="D22" s="0" t="s">
        <v>37</v>
      </c>
      <c r="E22" s="0" t="str">
        <f aca="false">IF(ISNUMBER(G22),"propulsé",IF(D22="Canon / mitrailleuse / lance-grenade","arme à feu","autre"))</f>
        <v>autre</v>
      </c>
      <c r="F22" s="27" t="n">
        <v>25</v>
      </c>
      <c r="G22" s="28"/>
      <c r="H22" s="29"/>
      <c r="I22" s="27"/>
      <c r="J22" s="28"/>
      <c r="K22" s="30"/>
      <c r="L22" s="30"/>
      <c r="M22" s="31" t="str">
        <f aca="false">IF(AND(ISNUMBER(G22),ISNUMBER(H22),ISNUMBER(I22),ISNUMBER(F22)),IF(AND(G22&gt;0,H22&gt;0,I22&gt;0,F22&gt;I22),G22*H22/I22*LN(F22/(F22-I22)),"N/A"),"N/A")</f>
        <v>N/A</v>
      </c>
      <c r="N22" s="0" t="str">
        <f aca="false">IF(ISNUMBER(M22),IF(AND(H22&gt;=$B$7,G22/(F22*$B$9)&lt;$B$8),"croisière","fusée"),"N/A")</f>
        <v>N/A</v>
      </c>
      <c r="O22" s="32" t="str">
        <f aca="false">IF(N22="fusée",MIN(M22,IF(C22="Jeu de base",$B$4,$B$5)),IF(N22="croisière",$B$6*SQRT(G22),"N/A"))</f>
        <v>N/A</v>
      </c>
      <c r="P22" s="32" t="str">
        <f aca="false">IF(E22="propulsé",IF(ISNUMBER(O22),IF(AND(ISNUMBER(K22),ISNUMBER(L22)),MEDIAN(K22,L22,O22),IF(ISNUMBER(L22),L22,IF(ISNUMBER(K22),K22,O22))),IF(ISNUMBER(K22),K22,"N/A")),IF(E22="arme à feu",IF(ISNUMBER(J22),IF(ISNUMBER(K22),MIN(J22,K22),J22),"N/A"),"N/A"))</f>
        <v>N/A</v>
      </c>
      <c r="Q22" s="0" t="str">
        <f aca="false">IF(NOT(ISNUMBER(P22)),"aucune vitesse définie",IF(E22="arme à feu",IF(AND(ISNUMBER(K22),ISNUMBER(J22),K22&lt;J22),"vitesse max fixée (inférieure à la bouche)","vitesse initiale (bouche)"),IF(AND(ISNUMBER(K22),ISNUMBER(L22)),"médiane fichier / wiki / calcul",IF(ISNUMBER(L22),"wiki Delta-V",IF(ISNUMBER(K22),"vitesse fixée du fichier","calcul ("&amp;N22&amp;IF(AND(N22="fusée",M22&gt;O22),", plafonné","")&amp;")")))))</f>
        <v>aucune vitesse définie</v>
      </c>
      <c r="R22" s="32" t="str">
        <f aca="false">IF(ISNUMBER(P22),IF(E22="arme à feu",IF($B$10=1,P22,"N/A"),P22),"N/A")</f>
        <v>N/A</v>
      </c>
      <c r="S22" s="33" t="str">
        <f aca="false">IF(ISNUMBER(R22),ROUND(1+9*(SUMPRODUCT(ISNUMBER($R$21:$R$153)*($R$21:$R$153&lt;=R22))-1)/(COUNT($R$21:$R$153)-1),1),"N/A")</f>
        <v>N/A</v>
      </c>
      <c r="T22" s="34"/>
    </row>
    <row r="23" customFormat="false" ht="15" hidden="false" customHeight="false" outlineLevel="0" collapsed="false">
      <c r="A23" s="0" t="str">
        <f aca="false">B23&amp;"|"&amp;C23</f>
        <v>??? (variante 1)|Jeu de base</v>
      </c>
      <c r="B23" s="0" t="s">
        <v>42</v>
      </c>
      <c r="C23" s="0" t="s">
        <v>36</v>
      </c>
      <c r="D23" s="0" t="s">
        <v>43</v>
      </c>
      <c r="E23" s="0" t="str">
        <f aca="false">IF(ISNUMBER(G23),"propulsé",IF(D23="Canon / mitrailleuse / lance-grenade","arme à feu","autre"))</f>
        <v>autre</v>
      </c>
      <c r="F23" s="27" t="n">
        <v>10</v>
      </c>
      <c r="G23" s="28"/>
      <c r="H23" s="29"/>
      <c r="I23" s="27"/>
      <c r="J23" s="28" t="n">
        <v>100</v>
      </c>
      <c r="K23" s="30"/>
      <c r="L23" s="30"/>
      <c r="M23" s="31" t="str">
        <f aca="false">IF(AND(ISNUMBER(G23),ISNUMBER(H23),ISNUMBER(I23),ISNUMBER(F23)),IF(AND(G23&gt;0,H23&gt;0,I23&gt;0,F23&gt;I23),G23*H23/I23*LN(F23/(F23-I23)),"N/A"),"N/A")</f>
        <v>N/A</v>
      </c>
      <c r="N23" s="0" t="str">
        <f aca="false">IF(ISNUMBER(M23),IF(AND(H23&gt;=$B$7,G23/(F23*$B$9)&lt;$B$8),"croisière","fusée"),"N/A")</f>
        <v>N/A</v>
      </c>
      <c r="O23" s="32" t="str">
        <f aca="false">IF(N23="fusée",MIN(M23,IF(C23="Jeu de base",$B$4,$B$5)),IF(N23="croisière",$B$6*SQRT(G23),"N/A"))</f>
        <v>N/A</v>
      </c>
      <c r="P23" s="32" t="str">
        <f aca="false">IF(E23="propulsé",IF(ISNUMBER(O23),IF(AND(ISNUMBER(K23),ISNUMBER(L23)),MEDIAN(K23,L23,O23),IF(ISNUMBER(L23),L23,IF(ISNUMBER(K23),K23,O23))),IF(ISNUMBER(K23),K23,"N/A")),IF(E23="arme à feu",IF(ISNUMBER(J23),IF(ISNUMBER(K23),MIN(J23,K23),J23),"N/A"),"N/A"))</f>
        <v>N/A</v>
      </c>
      <c r="Q23" s="0" t="str">
        <f aca="false">IF(NOT(ISNUMBER(P23)),"aucune vitesse définie",IF(E23="arme à feu",IF(AND(ISNUMBER(K23),ISNUMBER(J23),K23&lt;J23),"vitesse max fixée (inférieure à la bouche)","vitesse initiale (bouche)"),IF(AND(ISNUMBER(K23),ISNUMBER(L23)),"médiane fichier / wiki / calcul",IF(ISNUMBER(L23),"wiki Delta-V",IF(ISNUMBER(K23),"vitesse fixée du fichier","calcul ("&amp;N23&amp;IF(AND(N23="fusée",M23&gt;O23),", plafonné","")&amp;")")))))</f>
        <v>aucune vitesse définie</v>
      </c>
      <c r="R23" s="32" t="str">
        <f aca="false">IF(ISNUMBER(P23),IF(E23="arme à feu",IF($B$10=1,P23,"N/A"),P23),"N/A")</f>
        <v>N/A</v>
      </c>
      <c r="S23" s="33" t="str">
        <f aca="false">IF(ISNUMBER(R23),ROUND(1+9*(SUMPRODUCT(ISNUMBER($R$21:$R$153)*($R$21:$R$153&lt;=R23))-1)/(COUNT($R$21:$R$153)-1),1),"N/A")</f>
        <v>N/A</v>
      </c>
      <c r="T23" s="34"/>
    </row>
    <row r="24" customFormat="false" ht="15" hidden="false" customHeight="false" outlineLevel="0" collapsed="false">
      <c r="A24" s="0" t="str">
        <f aca="false">B24&amp;"|"&amp;C24</f>
        <v>CBO-400|Jeu de base</v>
      </c>
      <c r="B24" s="0" t="s">
        <v>45</v>
      </c>
      <c r="C24" s="0" t="s">
        <v>36</v>
      </c>
      <c r="D24" s="0" t="s">
        <v>43</v>
      </c>
      <c r="E24" s="0" t="str">
        <f aca="false">IF(ISNUMBER(G24),"propulsé",IF(D24="Canon / mitrailleuse / lance-grenade","arme à feu","autre"))</f>
        <v>autre</v>
      </c>
      <c r="F24" s="27" t="n">
        <v>400</v>
      </c>
      <c r="G24" s="28"/>
      <c r="H24" s="29"/>
      <c r="I24" s="27"/>
      <c r="J24" s="28"/>
      <c r="K24" s="30"/>
      <c r="L24" s="30"/>
      <c r="M24" s="31" t="str">
        <f aca="false">IF(AND(ISNUMBER(G24),ISNUMBER(H24),ISNUMBER(I24),ISNUMBER(F24)),IF(AND(G24&gt;0,H24&gt;0,I24&gt;0,F24&gt;I24),G24*H24/I24*LN(F24/(F24-I24)),"N/A"),"N/A")</f>
        <v>N/A</v>
      </c>
      <c r="N24" s="0" t="str">
        <f aca="false">IF(ISNUMBER(M24),IF(AND(H24&gt;=$B$7,G24/(F24*$B$9)&lt;$B$8),"croisière","fusée"),"N/A")</f>
        <v>N/A</v>
      </c>
      <c r="O24" s="32" t="str">
        <f aca="false">IF(N24="fusée",MIN(M24,IF(C24="Jeu de base",$B$4,$B$5)),IF(N24="croisière",$B$6*SQRT(G24),"N/A"))</f>
        <v>N/A</v>
      </c>
      <c r="P24" s="32" t="str">
        <f aca="false">IF(E24="propulsé",IF(ISNUMBER(O24),IF(AND(ISNUMBER(K24),ISNUMBER(L24)),MEDIAN(K24,L24,O24),IF(ISNUMBER(L24),L24,IF(ISNUMBER(K24),K24,O24))),IF(ISNUMBER(K24),K24,"N/A")),IF(E24="arme à feu",IF(ISNUMBER(J24),IF(ISNUMBER(K24),MIN(J24,K24),J24),"N/A"),"N/A"))</f>
        <v>N/A</v>
      </c>
      <c r="Q24" s="0" t="str">
        <f aca="false">IF(NOT(ISNUMBER(P24)),"aucune vitesse définie",IF(E24="arme à feu",IF(AND(ISNUMBER(K24),ISNUMBER(J24),K24&lt;J24),"vitesse max fixée (inférieure à la bouche)","vitesse initiale (bouche)"),IF(AND(ISNUMBER(K24),ISNUMBER(L24)),"médiane fichier / wiki / calcul",IF(ISNUMBER(L24),"wiki Delta-V",IF(ISNUMBER(K24),"vitesse fixée du fichier","calcul ("&amp;N24&amp;IF(AND(N24="fusée",M24&gt;O24),", plafonné","")&amp;")")))))</f>
        <v>aucune vitesse définie</v>
      </c>
      <c r="R24" s="32" t="str">
        <f aca="false">IF(ISNUMBER(P24),IF(E24="arme à feu",IF($B$10=1,P24,"N/A"),P24),"N/A")</f>
        <v>N/A</v>
      </c>
      <c r="S24" s="33" t="str">
        <f aca="false">IF(ISNUMBER(R24),ROUND(1+9*(SUMPRODUCT(ISNUMBER($R$21:$R$153)*($R$21:$R$153&lt;=R24))-1)/(COUNT($R$21:$R$153)-1),1),"N/A")</f>
        <v>N/A</v>
      </c>
      <c r="T24" s="34"/>
    </row>
    <row r="25" customFormat="false" ht="15" hidden="false" customHeight="false" outlineLevel="0" collapsed="false">
      <c r="A25" s="0" t="str">
        <f aca="false">B25&amp;"|"&amp;C25</f>
        <v>Demolition Bomb|Jeu de base</v>
      </c>
      <c r="B25" s="0" t="s">
        <v>46</v>
      </c>
      <c r="C25" s="0" t="s">
        <v>36</v>
      </c>
      <c r="D25" s="0" t="s">
        <v>43</v>
      </c>
      <c r="E25" s="0" t="str">
        <f aca="false">IF(ISNUMBER(G25),"propulsé",IF(D25="Canon / mitrailleuse / lance-grenade","arme à feu","autre"))</f>
        <v>autre</v>
      </c>
      <c r="F25" s="27" t="n">
        <v>10000</v>
      </c>
      <c r="G25" s="28"/>
      <c r="H25" s="29"/>
      <c r="I25" s="27"/>
      <c r="J25" s="28"/>
      <c r="K25" s="30"/>
      <c r="L25" s="30"/>
      <c r="M25" s="31" t="str">
        <f aca="false">IF(AND(ISNUMBER(G25),ISNUMBER(H25),ISNUMBER(I25),ISNUMBER(F25)),IF(AND(G25&gt;0,H25&gt;0,I25&gt;0,F25&gt;I25),G25*H25/I25*LN(F25/(F25-I25)),"N/A"),"N/A")</f>
        <v>N/A</v>
      </c>
      <c r="N25" s="0" t="str">
        <f aca="false">IF(ISNUMBER(M25),IF(AND(H25&gt;=$B$7,G25/(F25*$B$9)&lt;$B$8),"croisière","fusée"),"N/A")</f>
        <v>N/A</v>
      </c>
      <c r="O25" s="32" t="str">
        <f aca="false">IF(N25="fusée",MIN(M25,IF(C25="Jeu de base",$B$4,$B$5)),IF(N25="croisière",$B$6*SQRT(G25),"N/A"))</f>
        <v>N/A</v>
      </c>
      <c r="P25" s="32" t="str">
        <f aca="false">IF(E25="propulsé",IF(ISNUMBER(O25),IF(AND(ISNUMBER(K25),ISNUMBER(L25)),MEDIAN(K25,L25,O25),IF(ISNUMBER(L25),L25,IF(ISNUMBER(K25),K25,O25))),IF(ISNUMBER(K25),K25,"N/A")),IF(E25="arme à feu",IF(ISNUMBER(J25),IF(ISNUMBER(K25),MIN(J25,K25),J25),"N/A"),"N/A"))</f>
        <v>N/A</v>
      </c>
      <c r="Q25" s="0" t="str">
        <f aca="false">IF(NOT(ISNUMBER(P25)),"aucune vitesse définie",IF(E25="arme à feu",IF(AND(ISNUMBER(K25),ISNUMBER(J25),K25&lt;J25),"vitesse max fixée (inférieure à la bouche)","vitesse initiale (bouche)"),IF(AND(ISNUMBER(K25),ISNUMBER(L25)),"médiane fichier / wiki / calcul",IF(ISNUMBER(L25),"wiki Delta-V",IF(ISNUMBER(K25),"vitesse fixée du fichier","calcul ("&amp;N25&amp;IF(AND(N25="fusée",M25&gt;O25),", plafonné","")&amp;")")))))</f>
        <v>aucune vitesse définie</v>
      </c>
      <c r="R25" s="32" t="str">
        <f aca="false">IF(ISNUMBER(P25),IF(E25="arme à feu",IF($B$10=1,P25,"N/A"),P25),"N/A")</f>
        <v>N/A</v>
      </c>
      <c r="S25" s="33" t="str">
        <f aca="false">IF(ISNUMBER(R25),ROUND(1+9*(SUMPRODUCT(ISNUMBER($R$21:$R$153)*($R$21:$R$153&lt;=R25))-1)/(COUNT($R$21:$R$153)-1),1),"N/A")</f>
        <v>N/A</v>
      </c>
      <c r="T25" s="34"/>
    </row>
    <row r="26" customFormat="false" ht="15" hidden="false" customHeight="false" outlineLevel="0" collapsed="false">
      <c r="A26" s="0" t="str">
        <f aca="false">B26&amp;"|"&amp;C26</f>
        <v>GPO-2P Auger|Jeu de base</v>
      </c>
      <c r="B26" s="0" t="s">
        <v>47</v>
      </c>
      <c r="C26" s="0" t="s">
        <v>36</v>
      </c>
      <c r="D26" s="0" t="s">
        <v>43</v>
      </c>
      <c r="E26" s="0" t="str">
        <f aca="false">IF(ISNUMBER(G26),"propulsé",IF(D26="Canon / mitrailleuse / lance-grenade","arme à feu","autre"))</f>
        <v>autre</v>
      </c>
      <c r="F26" s="27" t="n">
        <v>1000</v>
      </c>
      <c r="G26" s="28"/>
      <c r="H26" s="29"/>
      <c r="I26" s="27"/>
      <c r="J26" s="28"/>
      <c r="K26" s="30"/>
      <c r="L26" s="30"/>
      <c r="M26" s="31" t="str">
        <f aca="false">IF(AND(ISNUMBER(G26),ISNUMBER(H26),ISNUMBER(I26),ISNUMBER(F26)),IF(AND(G26&gt;0,H26&gt;0,I26&gt;0,F26&gt;I26),G26*H26/I26*LN(F26/(F26-I26)),"N/A"),"N/A")</f>
        <v>N/A</v>
      </c>
      <c r="N26" s="0" t="str">
        <f aca="false">IF(ISNUMBER(M26),IF(AND(H26&gt;=$B$7,G26/(F26*$B$9)&lt;$B$8),"croisière","fusée"),"N/A")</f>
        <v>N/A</v>
      </c>
      <c r="O26" s="32" t="str">
        <f aca="false">IF(N26="fusée",MIN(M26,IF(C26="Jeu de base",$B$4,$B$5)),IF(N26="croisière",$B$6*SQRT(G26),"N/A"))</f>
        <v>N/A</v>
      </c>
      <c r="P26" s="32" t="str">
        <f aca="false">IF(E26="propulsé",IF(ISNUMBER(O26),IF(AND(ISNUMBER(K26),ISNUMBER(L26)),MEDIAN(K26,L26,O26),IF(ISNUMBER(L26),L26,IF(ISNUMBER(K26),K26,O26))),IF(ISNUMBER(K26),K26,"N/A")),IF(E26="arme à feu",IF(ISNUMBER(J26),IF(ISNUMBER(K26),MIN(J26,K26),J26),"N/A"),"N/A"))</f>
        <v>N/A</v>
      </c>
      <c r="Q26" s="0" t="str">
        <f aca="false">IF(NOT(ISNUMBER(P26)),"aucune vitesse définie",IF(E26="arme à feu",IF(AND(ISNUMBER(K26),ISNUMBER(J26),K26&lt;J26),"vitesse max fixée (inférieure à la bouche)","vitesse initiale (bouche)"),IF(AND(ISNUMBER(K26),ISNUMBER(L26)),"médiane fichier / wiki / calcul",IF(ISNUMBER(L26),"wiki Delta-V",IF(ISNUMBER(K26),"vitesse fixée du fichier","calcul ("&amp;N26&amp;IF(AND(N26="fusée",M26&gt;O26),", plafonné","")&amp;")")))))</f>
        <v>aucune vitesse définie</v>
      </c>
      <c r="R26" s="32" t="str">
        <f aca="false">IF(ISNUMBER(P26),IF(E26="arme à feu",IF($B$10=1,P26,"N/A"),P26),"N/A")</f>
        <v>N/A</v>
      </c>
      <c r="S26" s="33" t="str">
        <f aca="false">IF(ISNUMBER(R26),ROUND(1+9*(SUMPRODUCT(ISNUMBER($R$21:$R$153)*($R$21:$R$153&lt;=R26))-1)/(COUNT($R$21:$R$153)-1),1),"N/A")</f>
        <v>N/A</v>
      </c>
      <c r="T26" s="34"/>
    </row>
    <row r="27" customFormat="false" ht="15" hidden="false" customHeight="false" outlineLevel="0" collapsed="false">
      <c r="A27" s="0" t="str">
        <f aca="false">B27&amp;"|"&amp;C27</f>
        <v>GPO-500|Jeu de base</v>
      </c>
      <c r="B27" s="0" t="s">
        <v>48</v>
      </c>
      <c r="C27" s="0" t="s">
        <v>36</v>
      </c>
      <c r="D27" s="0" t="s">
        <v>43</v>
      </c>
      <c r="E27" s="0" t="str">
        <f aca="false">IF(ISNUMBER(G27),"propulsé",IF(D27="Canon / mitrailleuse / lance-grenade","arme à feu","autre"))</f>
        <v>autre</v>
      </c>
      <c r="F27" s="27" t="n">
        <v>500</v>
      </c>
      <c r="G27" s="28"/>
      <c r="H27" s="29"/>
      <c r="I27" s="27"/>
      <c r="J27" s="28"/>
      <c r="K27" s="30"/>
      <c r="L27" s="30"/>
      <c r="M27" s="31" t="str">
        <f aca="false">IF(AND(ISNUMBER(G27),ISNUMBER(H27),ISNUMBER(I27),ISNUMBER(F27)),IF(AND(G27&gt;0,H27&gt;0,I27&gt;0,F27&gt;I27),G27*H27/I27*LN(F27/(F27-I27)),"N/A"),"N/A")</f>
        <v>N/A</v>
      </c>
      <c r="N27" s="0" t="str">
        <f aca="false">IF(ISNUMBER(M27),IF(AND(H27&gt;=$B$7,G27/(F27*$B$9)&lt;$B$8),"croisière","fusée"),"N/A")</f>
        <v>N/A</v>
      </c>
      <c r="O27" s="32" t="str">
        <f aca="false">IF(N27="fusée",MIN(M27,IF(C27="Jeu de base",$B$4,$B$5)),IF(N27="croisière",$B$6*SQRT(G27),"N/A"))</f>
        <v>N/A</v>
      </c>
      <c r="P27" s="32" t="str">
        <f aca="false">IF(E27="propulsé",IF(ISNUMBER(O27),IF(AND(ISNUMBER(K27),ISNUMBER(L27)),MEDIAN(K27,L27,O27),IF(ISNUMBER(L27),L27,IF(ISNUMBER(K27),K27,O27))),IF(ISNUMBER(K27),K27,"N/A")),IF(E27="arme à feu",IF(ISNUMBER(J27),IF(ISNUMBER(K27),MIN(J27,K27),J27),"N/A"),"N/A"))</f>
        <v>N/A</v>
      </c>
      <c r="Q27" s="0" t="str">
        <f aca="false">IF(NOT(ISNUMBER(P27)),"aucune vitesse définie",IF(E27="arme à feu",IF(AND(ISNUMBER(K27),ISNUMBER(J27),K27&lt;J27),"vitesse max fixée (inférieure à la bouche)","vitesse initiale (bouche)"),IF(AND(ISNUMBER(K27),ISNUMBER(L27)),"médiane fichier / wiki / calcul",IF(ISNUMBER(L27),"wiki Delta-V",IF(ISNUMBER(K27),"vitesse fixée du fichier","calcul ("&amp;N27&amp;IF(AND(N27="fusée",M27&gt;O27),", plafonné","")&amp;")")))))</f>
        <v>aucune vitesse définie</v>
      </c>
      <c r="R27" s="32" t="str">
        <f aca="false">IF(ISNUMBER(P27),IF(E27="arme à feu",IF($B$10=1,P27,"N/A"),P27),"N/A")</f>
        <v>N/A</v>
      </c>
      <c r="S27" s="33" t="str">
        <f aca="false">IF(ISNUMBER(R27),ROUND(1+9*(SUMPRODUCT(ISNUMBER($R$21:$R$153)*($R$21:$R$153&lt;=R27))-1)/(COUNT($R$21:$R$153)-1),1),"N/A")</f>
        <v>N/A</v>
      </c>
      <c r="T27" s="34"/>
    </row>
    <row r="28" customFormat="false" ht="15" hidden="false" customHeight="false" outlineLevel="0" collapsed="false">
      <c r="A28" s="0" t="str">
        <f aca="false">B28&amp;"|"&amp;C28</f>
        <v>PAB-125|Jeu de base</v>
      </c>
      <c r="B28" s="0" t="s">
        <v>49</v>
      </c>
      <c r="C28" s="0" t="s">
        <v>36</v>
      </c>
      <c r="D28" s="0" t="s">
        <v>43</v>
      </c>
      <c r="E28" s="0" t="str">
        <f aca="false">IF(ISNUMBER(G28),"propulsé",IF(D28="Canon / mitrailleuse / lance-grenade","arme à feu","autre"))</f>
        <v>autre</v>
      </c>
      <c r="F28" s="27" t="n">
        <v>125</v>
      </c>
      <c r="G28" s="28"/>
      <c r="H28" s="29"/>
      <c r="I28" s="27"/>
      <c r="J28" s="28"/>
      <c r="K28" s="30"/>
      <c r="L28" s="30"/>
      <c r="M28" s="31" t="str">
        <f aca="false">IF(AND(ISNUMBER(G28),ISNUMBER(H28),ISNUMBER(I28),ISNUMBER(F28)),IF(AND(G28&gt;0,H28&gt;0,I28&gt;0,F28&gt;I28),G28*H28/I28*LN(F28/(F28-I28)),"N/A"),"N/A")</f>
        <v>N/A</v>
      </c>
      <c r="N28" s="0" t="str">
        <f aca="false">IF(ISNUMBER(M28),IF(AND(H28&gt;=$B$7,G28/(F28*$B$9)&lt;$B$8),"croisière","fusée"),"N/A")</f>
        <v>N/A</v>
      </c>
      <c r="O28" s="32" t="str">
        <f aca="false">IF(N28="fusée",MIN(M28,IF(C28="Jeu de base",$B$4,$B$5)),IF(N28="croisière",$B$6*SQRT(G28),"N/A"))</f>
        <v>N/A</v>
      </c>
      <c r="P28" s="32" t="str">
        <f aca="false">IF(E28="propulsé",IF(ISNUMBER(O28),IF(AND(ISNUMBER(K28),ISNUMBER(L28)),MEDIAN(K28,L28,O28),IF(ISNUMBER(L28),L28,IF(ISNUMBER(K28),K28,O28))),IF(ISNUMBER(K28),K28,"N/A")),IF(E28="arme à feu",IF(ISNUMBER(J28),IF(ISNUMBER(K28),MIN(J28,K28),J28),"N/A"),"N/A"))</f>
        <v>N/A</v>
      </c>
      <c r="Q28" s="0" t="str">
        <f aca="false">IF(NOT(ISNUMBER(P28)),"aucune vitesse définie",IF(E28="arme à feu",IF(AND(ISNUMBER(K28),ISNUMBER(J28),K28&lt;J28),"vitesse max fixée (inférieure à la bouche)","vitesse initiale (bouche)"),IF(AND(ISNUMBER(K28),ISNUMBER(L28)),"médiane fichier / wiki / calcul",IF(ISNUMBER(L28),"wiki Delta-V",IF(ISNUMBER(K28),"vitesse fixée du fichier","calcul ("&amp;N28&amp;IF(AND(N28="fusée",M28&gt;O28),", plafonné","")&amp;")")))))</f>
        <v>aucune vitesse définie</v>
      </c>
      <c r="R28" s="32" t="str">
        <f aca="false">IF(ISNUMBER(P28),IF(E28="arme à feu",IF($B$10=1,P28,"N/A"),P28),"N/A")</f>
        <v>N/A</v>
      </c>
      <c r="S28" s="33" t="str">
        <f aca="false">IF(ISNUMBER(R28),ROUND(1+9*(SUMPRODUCT(ISNUMBER($R$21:$R$153)*($R$21:$R$153&lt;=R28))-1)/(COUNT($R$21:$R$153)-1),1),"N/A")</f>
        <v>N/A</v>
      </c>
      <c r="T28" s="34"/>
    </row>
    <row r="29" customFormat="false" ht="15" hidden="false" customHeight="false" outlineLevel="0" collapsed="false">
      <c r="A29" s="0" t="str">
        <f aca="false">B29&amp;"|"&amp;C29</f>
        <v>PAB-125HD|Jeu de base</v>
      </c>
      <c r="B29" s="0" t="s">
        <v>50</v>
      </c>
      <c r="C29" s="0" t="s">
        <v>36</v>
      </c>
      <c r="D29" s="0" t="s">
        <v>43</v>
      </c>
      <c r="E29" s="0" t="str">
        <f aca="false">IF(ISNUMBER(G29),"propulsé",IF(D29="Canon / mitrailleuse / lance-grenade","arme à feu","autre"))</f>
        <v>autre</v>
      </c>
      <c r="F29" s="27" t="n">
        <v>125</v>
      </c>
      <c r="G29" s="28"/>
      <c r="H29" s="29"/>
      <c r="I29" s="27"/>
      <c r="J29" s="28"/>
      <c r="K29" s="30"/>
      <c r="L29" s="30"/>
      <c r="M29" s="31" t="str">
        <f aca="false">IF(AND(ISNUMBER(G29),ISNUMBER(H29),ISNUMBER(I29),ISNUMBER(F29)),IF(AND(G29&gt;0,H29&gt;0,I29&gt;0,F29&gt;I29),G29*H29/I29*LN(F29/(F29-I29)),"N/A"),"N/A")</f>
        <v>N/A</v>
      </c>
      <c r="N29" s="0" t="str">
        <f aca="false">IF(ISNUMBER(M29),IF(AND(H29&gt;=$B$7,G29/(F29*$B$9)&lt;$B$8),"croisière","fusée"),"N/A")</f>
        <v>N/A</v>
      </c>
      <c r="O29" s="32" t="str">
        <f aca="false">IF(N29="fusée",MIN(M29,IF(C29="Jeu de base",$B$4,$B$5)),IF(N29="croisière",$B$6*SQRT(G29),"N/A"))</f>
        <v>N/A</v>
      </c>
      <c r="P29" s="32" t="str">
        <f aca="false">IF(E29="propulsé",IF(ISNUMBER(O29),IF(AND(ISNUMBER(K29),ISNUMBER(L29)),MEDIAN(K29,L29,O29),IF(ISNUMBER(L29),L29,IF(ISNUMBER(K29),K29,O29))),IF(ISNUMBER(K29),K29,"N/A")),IF(E29="arme à feu",IF(ISNUMBER(J29),IF(ISNUMBER(K29),MIN(J29,K29),J29),"N/A"),"N/A"))</f>
        <v>N/A</v>
      </c>
      <c r="Q29" s="0" t="str">
        <f aca="false">IF(NOT(ISNUMBER(P29)),"aucune vitesse définie",IF(E29="arme à feu",IF(AND(ISNUMBER(K29),ISNUMBER(J29),K29&lt;J29),"vitesse max fixée (inférieure à la bouche)","vitesse initiale (bouche)"),IF(AND(ISNUMBER(K29),ISNUMBER(L29)),"médiane fichier / wiki / calcul",IF(ISNUMBER(L29),"wiki Delta-V",IF(ISNUMBER(K29),"vitesse fixée du fichier","calcul ("&amp;N29&amp;IF(AND(N29="fusée",M29&gt;O29),", plafonné","")&amp;")")))))</f>
        <v>aucune vitesse définie</v>
      </c>
      <c r="R29" s="32" t="str">
        <f aca="false">IF(ISNUMBER(P29),IF(E29="arme à feu",IF($B$10=1,P29,"N/A"),P29),"N/A")</f>
        <v>N/A</v>
      </c>
      <c r="S29" s="33" t="str">
        <f aca="false">IF(ISNUMBER(R29),ROUND(1+9*(SUMPRODUCT(ISNUMBER($R$21:$R$153)*($R$21:$R$153&lt;=R29))-1)/(COUNT($R$21:$R$153)-1),1),"N/A")</f>
        <v>N/A</v>
      </c>
      <c r="T29" s="34"/>
    </row>
    <row r="30" customFormat="false" ht="15" hidden="false" customHeight="false" outlineLevel="0" collapsed="false">
      <c r="A30" s="0" t="str">
        <f aca="false">B30&amp;"|"&amp;C30</f>
        <v>PAB-250|Jeu de base</v>
      </c>
      <c r="B30" s="0" t="s">
        <v>51</v>
      </c>
      <c r="C30" s="0" t="s">
        <v>36</v>
      </c>
      <c r="D30" s="0" t="s">
        <v>43</v>
      </c>
      <c r="E30" s="0" t="str">
        <f aca="false">IF(ISNUMBER(G30),"propulsé",IF(D30="Canon / mitrailleuse / lance-grenade","arme à feu","autre"))</f>
        <v>autre</v>
      </c>
      <c r="F30" s="27" t="n">
        <v>250</v>
      </c>
      <c r="G30" s="28"/>
      <c r="H30" s="29"/>
      <c r="I30" s="27"/>
      <c r="J30" s="28"/>
      <c r="K30" s="30"/>
      <c r="L30" s="30"/>
      <c r="M30" s="31" t="str">
        <f aca="false">IF(AND(ISNUMBER(G30),ISNUMBER(H30),ISNUMBER(I30),ISNUMBER(F30)),IF(AND(G30&gt;0,H30&gt;0,I30&gt;0,F30&gt;I30),G30*H30/I30*LN(F30/(F30-I30)),"N/A"),"N/A")</f>
        <v>N/A</v>
      </c>
      <c r="N30" s="0" t="str">
        <f aca="false">IF(ISNUMBER(M30),IF(AND(H30&gt;=$B$7,G30/(F30*$B$9)&lt;$B$8),"croisière","fusée"),"N/A")</f>
        <v>N/A</v>
      </c>
      <c r="O30" s="32" t="str">
        <f aca="false">IF(N30="fusée",MIN(M30,IF(C30="Jeu de base",$B$4,$B$5)),IF(N30="croisière",$B$6*SQRT(G30),"N/A"))</f>
        <v>N/A</v>
      </c>
      <c r="P30" s="32" t="str">
        <f aca="false">IF(E30="propulsé",IF(ISNUMBER(O30),IF(AND(ISNUMBER(K30),ISNUMBER(L30)),MEDIAN(K30,L30,O30),IF(ISNUMBER(L30),L30,IF(ISNUMBER(K30),K30,O30))),IF(ISNUMBER(K30),K30,"N/A")),IF(E30="arme à feu",IF(ISNUMBER(J30),IF(ISNUMBER(K30),MIN(J30,K30),J30),"N/A"),"N/A"))</f>
        <v>N/A</v>
      </c>
      <c r="Q30" s="0" t="str">
        <f aca="false">IF(NOT(ISNUMBER(P30)),"aucune vitesse définie",IF(E30="arme à feu",IF(AND(ISNUMBER(K30),ISNUMBER(J30),K30&lt;J30),"vitesse max fixée (inférieure à la bouche)","vitesse initiale (bouche)"),IF(AND(ISNUMBER(K30),ISNUMBER(L30)),"médiane fichier / wiki / calcul",IF(ISNUMBER(L30),"wiki Delta-V",IF(ISNUMBER(K30),"vitesse fixée du fichier","calcul ("&amp;N30&amp;IF(AND(N30="fusée",M30&gt;O30),", plafonné","")&amp;")")))))</f>
        <v>aucune vitesse définie</v>
      </c>
      <c r="R30" s="32" t="str">
        <f aca="false">IF(ISNUMBER(P30),IF(E30="arme à feu",IF($B$10=1,P30,"N/A"),P30),"N/A")</f>
        <v>N/A</v>
      </c>
      <c r="S30" s="33" t="str">
        <f aca="false">IF(ISNUMBER(R30),ROUND(1+9*(SUMPRODUCT(ISNUMBER($R$21:$R$153)*($R$21:$R$153&lt;=R30))-1)/(COUNT($R$21:$R$153)-1),1),"N/A")</f>
        <v>N/A</v>
      </c>
      <c r="T30" s="34"/>
    </row>
    <row r="31" customFormat="false" ht="15" hidden="false" customHeight="false" outlineLevel="0" collapsed="false">
      <c r="A31" s="0" t="str">
        <f aca="false">B31&amp;"|"&amp;C31</f>
        <v>GPO-N (1.5kt)|Jeu de base</v>
      </c>
      <c r="B31" s="0" t="s">
        <v>52</v>
      </c>
      <c r="C31" s="0" t="s">
        <v>36</v>
      </c>
      <c r="D31" s="0" t="s">
        <v>53</v>
      </c>
      <c r="E31" s="0" t="str">
        <f aca="false">IF(ISNUMBER(G31),"propulsé",IF(D31="Canon / mitrailleuse / lance-grenade","arme à feu","autre"))</f>
        <v>autre</v>
      </c>
      <c r="F31" s="27" t="n">
        <v>400</v>
      </c>
      <c r="G31" s="28"/>
      <c r="H31" s="29"/>
      <c r="I31" s="27"/>
      <c r="J31" s="28"/>
      <c r="K31" s="30"/>
      <c r="L31" s="30"/>
      <c r="M31" s="31" t="str">
        <f aca="false">IF(AND(ISNUMBER(G31),ISNUMBER(H31),ISNUMBER(I31),ISNUMBER(F31)),IF(AND(G31&gt;0,H31&gt;0,I31&gt;0,F31&gt;I31),G31*H31/I31*LN(F31/(F31-I31)),"N/A"),"N/A")</f>
        <v>N/A</v>
      </c>
      <c r="N31" s="0" t="str">
        <f aca="false">IF(ISNUMBER(M31),IF(AND(H31&gt;=$B$7,G31/(F31*$B$9)&lt;$B$8),"croisière","fusée"),"N/A")</f>
        <v>N/A</v>
      </c>
      <c r="O31" s="32" t="str">
        <f aca="false">IF(N31="fusée",MIN(M31,IF(C31="Jeu de base",$B$4,$B$5)),IF(N31="croisière",$B$6*SQRT(G31),"N/A"))</f>
        <v>N/A</v>
      </c>
      <c r="P31" s="32" t="str">
        <f aca="false">IF(E31="propulsé",IF(ISNUMBER(O31),IF(AND(ISNUMBER(K31),ISNUMBER(L31)),MEDIAN(K31,L31,O31),IF(ISNUMBER(L31),L31,IF(ISNUMBER(K31),K31,O31))),IF(ISNUMBER(K31),K31,"N/A")),IF(E31="arme à feu",IF(ISNUMBER(J31),IF(ISNUMBER(K31),MIN(J31,K31),J31),"N/A"),"N/A"))</f>
        <v>N/A</v>
      </c>
      <c r="Q31" s="0" t="str">
        <f aca="false">IF(NOT(ISNUMBER(P31)),"aucune vitesse définie",IF(E31="arme à feu",IF(AND(ISNUMBER(K31),ISNUMBER(J31),K31&lt;J31),"vitesse max fixée (inférieure à la bouche)","vitesse initiale (bouche)"),IF(AND(ISNUMBER(K31),ISNUMBER(L31)),"médiane fichier / wiki / calcul",IF(ISNUMBER(L31),"wiki Delta-V",IF(ISNUMBER(K31),"vitesse fixée du fichier","calcul ("&amp;N31&amp;IF(AND(N31="fusée",M31&gt;O31),", plafonné","")&amp;")")))))</f>
        <v>aucune vitesse définie</v>
      </c>
      <c r="R31" s="32" t="str">
        <f aca="false">IF(ISNUMBER(P31),IF(E31="arme à feu",IF($B$10=1,P31,"N/A"),P31),"N/A")</f>
        <v>N/A</v>
      </c>
      <c r="S31" s="33" t="str">
        <f aca="false">IF(ISNUMBER(R31),ROUND(1+9*(SUMPRODUCT(ISNUMBER($R$21:$R$153)*($R$21:$R$153&lt;=R31))-1)/(COUNT($R$21:$R$153)-1),1),"N/A")</f>
        <v>N/A</v>
      </c>
      <c r="T31" s="34"/>
    </row>
    <row r="32" customFormat="false" ht="15" hidden="false" customHeight="false" outlineLevel="0" collapsed="false">
      <c r="A32" s="0" t="str">
        <f aca="false">B32&amp;"|"&amp;C32</f>
        <v>GPO-N (250kt)|Jeu de base</v>
      </c>
      <c r="B32" s="0" t="s">
        <v>54</v>
      </c>
      <c r="C32" s="0" t="s">
        <v>36</v>
      </c>
      <c r="D32" s="0" t="s">
        <v>53</v>
      </c>
      <c r="E32" s="0" t="str">
        <f aca="false">IF(ISNUMBER(G32),"propulsé",IF(D32="Canon / mitrailleuse / lance-grenade","arme à feu","autre"))</f>
        <v>autre</v>
      </c>
      <c r="F32" s="27" t="n">
        <v>400</v>
      </c>
      <c r="G32" s="28"/>
      <c r="H32" s="29"/>
      <c r="I32" s="27"/>
      <c r="J32" s="28"/>
      <c r="K32" s="30"/>
      <c r="L32" s="30"/>
      <c r="M32" s="31" t="str">
        <f aca="false">IF(AND(ISNUMBER(G32),ISNUMBER(H32),ISNUMBER(I32),ISNUMBER(F32)),IF(AND(G32&gt;0,H32&gt;0,I32&gt;0,F32&gt;I32),G32*H32/I32*LN(F32/(F32-I32)),"N/A"),"N/A")</f>
        <v>N/A</v>
      </c>
      <c r="N32" s="0" t="str">
        <f aca="false">IF(ISNUMBER(M32),IF(AND(H32&gt;=$B$7,G32/(F32*$B$9)&lt;$B$8),"croisière","fusée"),"N/A")</f>
        <v>N/A</v>
      </c>
      <c r="O32" s="32" t="str">
        <f aca="false">IF(N32="fusée",MIN(M32,IF(C32="Jeu de base",$B$4,$B$5)),IF(N32="croisière",$B$6*SQRT(G32),"N/A"))</f>
        <v>N/A</v>
      </c>
      <c r="P32" s="32" t="str">
        <f aca="false">IF(E32="propulsé",IF(ISNUMBER(O32),IF(AND(ISNUMBER(K32),ISNUMBER(L32)),MEDIAN(K32,L32,O32),IF(ISNUMBER(L32),L32,IF(ISNUMBER(K32),K32,O32))),IF(ISNUMBER(K32),K32,"N/A")),IF(E32="arme à feu",IF(ISNUMBER(J32),IF(ISNUMBER(K32),MIN(J32,K32),J32),"N/A"),"N/A"))</f>
        <v>N/A</v>
      </c>
      <c r="Q32" s="0" t="str">
        <f aca="false">IF(NOT(ISNUMBER(P32)),"aucune vitesse définie",IF(E32="arme à feu",IF(AND(ISNUMBER(K32),ISNUMBER(J32),K32&lt;J32),"vitesse max fixée (inférieure à la bouche)","vitesse initiale (bouche)"),IF(AND(ISNUMBER(K32),ISNUMBER(L32)),"médiane fichier / wiki / calcul",IF(ISNUMBER(L32),"wiki Delta-V",IF(ISNUMBER(K32),"vitesse fixée du fichier","calcul ("&amp;N32&amp;IF(AND(N32="fusée",M32&gt;O32),", plafonné","")&amp;")")))))</f>
        <v>aucune vitesse définie</v>
      </c>
      <c r="R32" s="32" t="str">
        <f aca="false">IF(ISNUMBER(P32),IF(E32="arme à feu",IF($B$10=1,P32,"N/A"),P32),"N/A")</f>
        <v>N/A</v>
      </c>
      <c r="S32" s="33" t="str">
        <f aca="false">IF(ISNUMBER(R32),ROUND(1+9*(SUMPRODUCT(ISNUMBER($R$21:$R$153)*($R$21:$R$153&lt;=R32))-1)/(COUNT($R$21:$R$153)-1),1),"N/A")</f>
        <v>N/A</v>
      </c>
      <c r="T32" s="34"/>
    </row>
    <row r="33" customFormat="false" ht="15" hidden="false" customHeight="false" outlineLevel="0" collapsed="false">
      <c r="A33" s="0" t="str">
        <f aca="false">B33&amp;"|"&amp;C33</f>
        <v>GBM-500LR|Jeu de base</v>
      </c>
      <c r="B33" s="0" t="s">
        <v>55</v>
      </c>
      <c r="C33" s="0" t="s">
        <v>36</v>
      </c>
      <c r="D33" s="0" t="s">
        <v>56</v>
      </c>
      <c r="E33" s="0" t="str">
        <f aca="false">IF(ISNUMBER(G33),"propulsé",IF(D33="Canon / mitrailleuse / lance-grenade","arme à feu","autre"))</f>
        <v>autre</v>
      </c>
      <c r="F33" s="27" t="n">
        <v>500</v>
      </c>
      <c r="G33" s="28"/>
      <c r="H33" s="29"/>
      <c r="I33" s="27"/>
      <c r="J33" s="28"/>
      <c r="K33" s="30"/>
      <c r="L33" s="30"/>
      <c r="M33" s="31" t="str">
        <f aca="false">IF(AND(ISNUMBER(G33),ISNUMBER(H33),ISNUMBER(I33),ISNUMBER(F33)),IF(AND(G33&gt;0,H33&gt;0,I33&gt;0,F33&gt;I33),G33*H33/I33*LN(F33/(F33-I33)),"N/A"),"N/A")</f>
        <v>N/A</v>
      </c>
      <c r="N33" s="0" t="str">
        <f aca="false">IF(ISNUMBER(M33),IF(AND(H33&gt;=$B$7,G33/(F33*$B$9)&lt;$B$8),"croisière","fusée"),"N/A")</f>
        <v>N/A</v>
      </c>
      <c r="O33" s="32" t="str">
        <f aca="false">IF(N33="fusée",MIN(M33,IF(C33="Jeu de base",$B$4,$B$5)),IF(N33="croisière",$B$6*SQRT(G33),"N/A"))</f>
        <v>N/A</v>
      </c>
      <c r="P33" s="32" t="str">
        <f aca="false">IF(E33="propulsé",IF(ISNUMBER(O33),IF(AND(ISNUMBER(K33),ISNUMBER(L33)),MEDIAN(K33,L33,O33),IF(ISNUMBER(L33),L33,IF(ISNUMBER(K33),K33,O33))),IF(ISNUMBER(K33),K33,"N/A")),IF(E33="arme à feu",IF(ISNUMBER(J33),IF(ISNUMBER(K33),MIN(J33,K33),J33),"N/A"),"N/A"))</f>
        <v>N/A</v>
      </c>
      <c r="Q33" s="0" t="str">
        <f aca="false">IF(NOT(ISNUMBER(P33)),"aucune vitesse définie",IF(E33="arme à feu",IF(AND(ISNUMBER(K33),ISNUMBER(J33),K33&lt;J33),"vitesse max fixée (inférieure à la bouche)","vitesse initiale (bouche)"),IF(AND(ISNUMBER(K33),ISNUMBER(L33)),"médiane fichier / wiki / calcul",IF(ISNUMBER(L33),"wiki Delta-V",IF(ISNUMBER(K33),"vitesse fixée du fichier","calcul ("&amp;N33&amp;IF(AND(N33="fusée",M33&gt;O33),", plafonné","")&amp;")")))))</f>
        <v>aucune vitesse définie</v>
      </c>
      <c r="R33" s="32" t="str">
        <f aca="false">IF(ISNUMBER(P33),IF(E33="arme à feu",IF($B$10=1,P33,"N/A"),P33),"N/A")</f>
        <v>N/A</v>
      </c>
      <c r="S33" s="33" t="str">
        <f aca="false">IF(ISNUMBER(R33),ROUND(1+9*(SUMPRODUCT(ISNUMBER($R$21:$R$153)*($R$21:$R$153&lt;=R33))-1)/(COUNT($R$21:$R$153)-1),1),"N/A")</f>
        <v>N/A</v>
      </c>
      <c r="T33" s="34"/>
    </row>
    <row r="34" customFormat="false" ht="15" hidden="false" customHeight="false" outlineLevel="0" collapsed="false">
      <c r="A34" s="0" t="str">
        <f aca="false">B34&amp;"|"&amp;C34</f>
        <v>PAB-250LR|Jeu de base</v>
      </c>
      <c r="B34" s="0" t="s">
        <v>58</v>
      </c>
      <c r="C34" s="0" t="s">
        <v>36</v>
      </c>
      <c r="D34" s="0" t="s">
        <v>56</v>
      </c>
      <c r="E34" s="0" t="str">
        <f aca="false">IF(ISNUMBER(G34),"propulsé",IF(D34="Canon / mitrailleuse / lance-grenade","arme à feu","autre"))</f>
        <v>autre</v>
      </c>
      <c r="F34" s="27" t="n">
        <v>270</v>
      </c>
      <c r="G34" s="28"/>
      <c r="H34" s="29"/>
      <c r="I34" s="27"/>
      <c r="J34" s="28"/>
      <c r="K34" s="30"/>
      <c r="L34" s="30"/>
      <c r="M34" s="31" t="str">
        <f aca="false">IF(AND(ISNUMBER(G34),ISNUMBER(H34),ISNUMBER(I34),ISNUMBER(F34)),IF(AND(G34&gt;0,H34&gt;0,I34&gt;0,F34&gt;I34),G34*H34/I34*LN(F34/(F34-I34)),"N/A"),"N/A")</f>
        <v>N/A</v>
      </c>
      <c r="N34" s="0" t="str">
        <f aca="false">IF(ISNUMBER(M34),IF(AND(H34&gt;=$B$7,G34/(F34*$B$9)&lt;$B$8),"croisière","fusée"),"N/A")</f>
        <v>N/A</v>
      </c>
      <c r="O34" s="32" t="str">
        <f aca="false">IF(N34="fusée",MIN(M34,IF(C34="Jeu de base",$B$4,$B$5)),IF(N34="croisière",$B$6*SQRT(G34),"N/A"))</f>
        <v>N/A</v>
      </c>
      <c r="P34" s="32" t="str">
        <f aca="false">IF(E34="propulsé",IF(ISNUMBER(O34),IF(AND(ISNUMBER(K34),ISNUMBER(L34)),MEDIAN(K34,L34,O34),IF(ISNUMBER(L34),L34,IF(ISNUMBER(K34),K34,O34))),IF(ISNUMBER(K34),K34,"N/A")),IF(E34="arme à feu",IF(ISNUMBER(J34),IF(ISNUMBER(K34),MIN(J34,K34),J34),"N/A"),"N/A"))</f>
        <v>N/A</v>
      </c>
      <c r="Q34" s="0" t="str">
        <f aca="false">IF(NOT(ISNUMBER(P34)),"aucune vitesse définie",IF(E34="arme à feu",IF(AND(ISNUMBER(K34),ISNUMBER(J34),K34&lt;J34),"vitesse max fixée (inférieure à la bouche)","vitesse initiale (bouche)"),IF(AND(ISNUMBER(K34),ISNUMBER(L34)),"médiane fichier / wiki / calcul",IF(ISNUMBER(L34),"wiki Delta-V",IF(ISNUMBER(K34),"vitesse fixée du fichier","calcul ("&amp;N34&amp;IF(AND(N34="fusée",M34&gt;O34),", plafonné","")&amp;")")))))</f>
        <v>aucune vitesse définie</v>
      </c>
      <c r="R34" s="32" t="str">
        <f aca="false">IF(ISNUMBER(P34),IF(E34="arme à feu",IF($B$10=1,P34,"N/A"),P34),"N/A")</f>
        <v>N/A</v>
      </c>
      <c r="S34" s="33" t="str">
        <f aca="false">IF(ISNUMBER(R34),ROUND(1+9*(SUMPRODUCT(ISNUMBER($R$21:$R$153)*($R$21:$R$153&lt;=R34))-1)/(COUNT($R$21:$R$153)-1),1),"N/A")</f>
        <v>N/A</v>
      </c>
      <c r="T34" s="34"/>
    </row>
    <row r="35" customFormat="false" ht="15" hidden="false" customHeight="false" outlineLevel="0" collapsed="false">
      <c r="A35" s="0" t="str">
        <f aca="false">B35&amp;"|"&amp;C35</f>
        <v>PAB-80LR|Jeu de base</v>
      </c>
      <c r="B35" s="0" t="s">
        <v>60</v>
      </c>
      <c r="C35" s="0" t="s">
        <v>36</v>
      </c>
      <c r="D35" s="0" t="s">
        <v>56</v>
      </c>
      <c r="E35" s="0" t="str">
        <f aca="false">IF(ISNUMBER(G35),"propulsé",IF(D35="Canon / mitrailleuse / lance-grenade","arme à feu","autre"))</f>
        <v>autre</v>
      </c>
      <c r="F35" s="27" t="n">
        <v>125</v>
      </c>
      <c r="G35" s="28"/>
      <c r="H35" s="29"/>
      <c r="I35" s="27"/>
      <c r="J35" s="28"/>
      <c r="K35" s="30"/>
      <c r="L35" s="30"/>
      <c r="M35" s="31" t="str">
        <f aca="false">IF(AND(ISNUMBER(G35),ISNUMBER(H35),ISNUMBER(I35),ISNUMBER(F35)),IF(AND(G35&gt;0,H35&gt;0,I35&gt;0,F35&gt;I35),G35*H35/I35*LN(F35/(F35-I35)),"N/A"),"N/A")</f>
        <v>N/A</v>
      </c>
      <c r="N35" s="0" t="str">
        <f aca="false">IF(ISNUMBER(M35),IF(AND(H35&gt;=$B$7,G35/(F35*$B$9)&lt;$B$8),"croisière","fusée"),"N/A")</f>
        <v>N/A</v>
      </c>
      <c r="O35" s="32" t="str">
        <f aca="false">IF(N35="fusée",MIN(M35,IF(C35="Jeu de base",$B$4,$B$5)),IF(N35="croisière",$B$6*SQRT(G35),"N/A"))</f>
        <v>N/A</v>
      </c>
      <c r="P35" s="32" t="str">
        <f aca="false">IF(E35="propulsé",IF(ISNUMBER(O35),IF(AND(ISNUMBER(K35),ISNUMBER(L35)),MEDIAN(K35,L35,O35),IF(ISNUMBER(L35),L35,IF(ISNUMBER(K35),K35,O35))),IF(ISNUMBER(K35),K35,"N/A")),IF(E35="arme à feu",IF(ISNUMBER(J35),IF(ISNUMBER(K35),MIN(J35,K35),J35),"N/A"),"N/A"))</f>
        <v>N/A</v>
      </c>
      <c r="Q35" s="0" t="str">
        <f aca="false">IF(NOT(ISNUMBER(P35)),"aucune vitesse définie",IF(E35="arme à feu",IF(AND(ISNUMBER(K35),ISNUMBER(J35),K35&lt;J35),"vitesse max fixée (inférieure à la bouche)","vitesse initiale (bouche)"),IF(AND(ISNUMBER(K35),ISNUMBER(L35)),"médiane fichier / wiki / calcul",IF(ISNUMBER(L35),"wiki Delta-V",IF(ISNUMBER(K35),"vitesse fixée du fichier","calcul ("&amp;N35&amp;IF(AND(N35="fusée",M35&gt;O35),", plafonné","")&amp;")")))))</f>
        <v>aucune vitesse définie</v>
      </c>
      <c r="R35" s="32" t="str">
        <f aca="false">IF(ISNUMBER(P35),IF(E35="arme à feu",IF($B$10=1,P35,"N/A"),P35),"N/A")</f>
        <v>N/A</v>
      </c>
      <c r="S35" s="33" t="str">
        <f aca="false">IF(ISNUMBER(R35),ROUND(1+9*(SUMPRODUCT(ISNUMBER($R$21:$R$153)*($R$21:$R$153&lt;=R35))-1)/(COUNT($R$21:$R$153)-1),1),"N/A")</f>
        <v>N/A</v>
      </c>
      <c r="T35" s="34"/>
    </row>
    <row r="36" customFormat="false" ht="15" hidden="false" customHeight="false" outlineLevel="0" collapsed="false">
      <c r="A36" s="0" t="str">
        <f aca="false">B36&amp;"|"&amp;C36</f>
        <v>Radar Jamming Pod|Jeu de base</v>
      </c>
      <c r="B36" s="0" t="s">
        <v>61</v>
      </c>
      <c r="C36" s="0" t="s">
        <v>36</v>
      </c>
      <c r="D36" s="0" t="s">
        <v>62</v>
      </c>
      <c r="E36" s="0" t="str">
        <f aca="false">IF(ISNUMBER(G36),"propulsé",IF(D36="Canon / mitrailleuse / lance-grenade","arme à feu","autre"))</f>
        <v>autre</v>
      </c>
      <c r="F36" s="27" t="n">
        <v>0</v>
      </c>
      <c r="G36" s="28"/>
      <c r="H36" s="29"/>
      <c r="I36" s="27"/>
      <c r="J36" s="28" t="n">
        <v>300000000</v>
      </c>
      <c r="K36" s="30" t="n">
        <v>300000000</v>
      </c>
      <c r="L36" s="30"/>
      <c r="M36" s="31" t="str">
        <f aca="false">IF(AND(ISNUMBER(G36),ISNUMBER(H36),ISNUMBER(I36),ISNUMBER(F36)),IF(AND(G36&gt;0,H36&gt;0,I36&gt;0,F36&gt;I36),G36*H36/I36*LN(F36/(F36-I36)),"N/A"),"N/A")</f>
        <v>N/A</v>
      </c>
      <c r="N36" s="0" t="str">
        <f aca="false">IF(ISNUMBER(M36),IF(AND(H36&gt;=$B$7,G36/(F36*$B$9)&lt;$B$8),"croisière","fusée"),"N/A")</f>
        <v>N/A</v>
      </c>
      <c r="O36" s="32" t="str">
        <f aca="false">IF(N36="fusée",MIN(M36,IF(C36="Jeu de base",$B$4,$B$5)),IF(N36="croisière",$B$6*SQRT(G36),"N/A"))</f>
        <v>N/A</v>
      </c>
      <c r="P36" s="32" t="str">
        <f aca="false">IF(E36="propulsé",IF(ISNUMBER(O36),IF(AND(ISNUMBER(K36),ISNUMBER(L36)),MEDIAN(K36,L36,O36),IF(ISNUMBER(L36),L36,IF(ISNUMBER(K36),K36,O36))),IF(ISNUMBER(K36),K36,"N/A")),IF(E36="arme à feu",IF(ISNUMBER(J36),IF(ISNUMBER(K36),MIN(J36,K36),J36),"N/A"),"N/A"))</f>
        <v>N/A</v>
      </c>
      <c r="Q36" s="0" t="str">
        <f aca="false">IF(NOT(ISNUMBER(P36)),"aucune vitesse définie",IF(E36="arme à feu",IF(AND(ISNUMBER(K36),ISNUMBER(J36),K36&lt;J36),"vitesse max fixée (inférieure à la bouche)","vitesse initiale (bouche)"),IF(AND(ISNUMBER(K36),ISNUMBER(L36)),"médiane fichier / wiki / calcul",IF(ISNUMBER(L36),"wiki Delta-V",IF(ISNUMBER(K36),"vitesse fixée du fichier","calcul ("&amp;N36&amp;IF(AND(N36="fusée",M36&gt;O36),", plafonné","")&amp;")")))))</f>
        <v>aucune vitesse définie</v>
      </c>
      <c r="R36" s="32" t="str">
        <f aca="false">IF(ISNUMBER(P36),IF(E36="arme à feu",IF($B$10=1,P36,"N/A"),P36),"N/A")</f>
        <v>N/A</v>
      </c>
      <c r="S36" s="33" t="str">
        <f aca="false">IF(ISNUMBER(R36),ROUND(1+9*(SUMPRODUCT(ISNUMBER($R$21:$R$153)*($R$21:$R$153&lt;=R36))-1)/(COUNT($R$21:$R$153)-1),1),"N/A")</f>
        <v>N/A</v>
      </c>
      <c r="T36" s="34"/>
    </row>
    <row r="37" customFormat="false" ht="15" hidden="false" customHeight="false" outlineLevel="0" collapsed="false">
      <c r="A37" s="0" t="str">
        <f aca="false">B37&amp;"|"&amp;C37</f>
        <v>12.7mm Machine Gun|Jeu de base</v>
      </c>
      <c r="B37" s="0" t="s">
        <v>63</v>
      </c>
      <c r="C37" s="0" t="s">
        <v>36</v>
      </c>
      <c r="D37" s="0" t="s">
        <v>64</v>
      </c>
      <c r="E37" s="0" t="str">
        <f aca="false">IF(ISNUMBER(G37),"propulsé",IF(D37="Canon / mitrailleuse / lance-grenade","arme à feu","autre"))</f>
        <v>arme à feu</v>
      </c>
      <c r="F37" s="27" t="n">
        <v>0.12</v>
      </c>
      <c r="G37" s="28"/>
      <c r="H37" s="29"/>
      <c r="I37" s="27"/>
      <c r="J37" s="28" t="n">
        <v>850</v>
      </c>
      <c r="K37" s="30" t="n">
        <v>850</v>
      </c>
      <c r="L37" s="30"/>
      <c r="M37" s="31" t="str">
        <f aca="false">IF(AND(ISNUMBER(G37),ISNUMBER(H37),ISNUMBER(I37),ISNUMBER(F37)),IF(AND(G37&gt;0,H37&gt;0,I37&gt;0,F37&gt;I37),G37*H37/I37*LN(F37/(F37-I37)),"N/A"),"N/A")</f>
        <v>N/A</v>
      </c>
      <c r="N37" s="0" t="str">
        <f aca="false">IF(ISNUMBER(M37),IF(AND(H37&gt;=$B$7,G37/(F37*$B$9)&lt;$B$8),"croisière","fusée"),"N/A")</f>
        <v>N/A</v>
      </c>
      <c r="O37" s="32" t="str">
        <f aca="false">IF(N37="fusée",MIN(M37,IF(C37="Jeu de base",$B$4,$B$5)),IF(N37="croisière",$B$6*SQRT(G37),"N/A"))</f>
        <v>N/A</v>
      </c>
      <c r="P37" s="32" t="n">
        <f aca="false">IF(E37="propulsé",IF(ISNUMBER(O37),IF(AND(ISNUMBER(K37),ISNUMBER(L37)),MEDIAN(K37,L37,O37),IF(ISNUMBER(L37),L37,IF(ISNUMBER(K37),K37,O37))),IF(ISNUMBER(K37),K37,"N/A")),IF(E37="arme à feu",IF(ISNUMBER(J37),IF(ISNUMBER(K37),MIN(J37,K37),J37),"N/A"),"N/A"))</f>
        <v>850</v>
      </c>
      <c r="Q37" s="0" t="str">
        <f aca="false">IF(NOT(ISNUMBER(P37)),"aucune vitesse définie",IF(E37="arme à feu",IF(AND(ISNUMBER(K37),ISNUMBER(J37),K37&lt;J37),"vitesse max fixée (inférieure à la bouche)","vitesse initiale (bouche)"),IF(AND(ISNUMBER(K37),ISNUMBER(L37)),"médiane fichier / wiki / calcul",IF(ISNUMBER(L37),"wiki Delta-V",IF(ISNUMBER(K37),"vitesse fixée du fichier","calcul ("&amp;N37&amp;IF(AND(N37="fusée",M37&gt;O37),", plafonné","")&amp;")")))))</f>
        <v>vitesse initiale (bouche)</v>
      </c>
      <c r="R37" s="32" t="n">
        <f aca="false">IF(ISNUMBER(P37),IF(E37="arme à feu",IF($B$10=1,P37,"N/A"),P37),"N/A")</f>
        <v>850</v>
      </c>
      <c r="S37" s="33" t="n">
        <f aca="false">IF(ISNUMBER(R37),ROUND(1+9*(SUMPRODUCT(ISNUMBER($R$21:$R$153)*($R$21:$R$153&lt;=R37))-1)/(COUNT($R$21:$R$153)-1),1),"N/A")</f>
        <v>4.5</v>
      </c>
      <c r="T37" s="34"/>
    </row>
    <row r="38" customFormat="false" ht="15" hidden="false" customHeight="false" outlineLevel="0" collapsed="false">
      <c r="A38" s="0" t="str">
        <f aca="false">B38&amp;"|"&amp;C38</f>
        <v>12.7mm Rotary Machine Gun|Jeu de base</v>
      </c>
      <c r="B38" s="0" t="s">
        <v>65</v>
      </c>
      <c r="C38" s="0" t="s">
        <v>36</v>
      </c>
      <c r="D38" s="0" t="s">
        <v>64</v>
      </c>
      <c r="E38" s="0" t="str">
        <f aca="false">IF(ISNUMBER(G38),"propulsé",IF(D38="Canon / mitrailleuse / lance-grenade","arme à feu","autre"))</f>
        <v>arme à feu</v>
      </c>
      <c r="F38" s="27" t="n">
        <v>0.12</v>
      </c>
      <c r="G38" s="28"/>
      <c r="H38" s="29"/>
      <c r="I38" s="27"/>
      <c r="J38" s="28" t="n">
        <v>850</v>
      </c>
      <c r="K38" s="30"/>
      <c r="L38" s="30"/>
      <c r="M38" s="31" t="str">
        <f aca="false">IF(AND(ISNUMBER(G38),ISNUMBER(H38),ISNUMBER(I38),ISNUMBER(F38)),IF(AND(G38&gt;0,H38&gt;0,I38&gt;0,F38&gt;I38),G38*H38/I38*LN(F38/(F38-I38)),"N/A"),"N/A")</f>
        <v>N/A</v>
      </c>
      <c r="N38" s="0" t="str">
        <f aca="false">IF(ISNUMBER(M38),IF(AND(H38&gt;=$B$7,G38/(F38*$B$9)&lt;$B$8),"croisière","fusée"),"N/A")</f>
        <v>N/A</v>
      </c>
      <c r="O38" s="32" t="str">
        <f aca="false">IF(N38="fusée",MIN(M38,IF(C38="Jeu de base",$B$4,$B$5)),IF(N38="croisière",$B$6*SQRT(G38),"N/A"))</f>
        <v>N/A</v>
      </c>
      <c r="P38" s="32" t="n">
        <f aca="false">IF(E38="propulsé",IF(ISNUMBER(O38),IF(AND(ISNUMBER(K38),ISNUMBER(L38)),MEDIAN(K38,L38,O38),IF(ISNUMBER(L38),L38,IF(ISNUMBER(K38),K38,O38))),IF(ISNUMBER(K38),K38,"N/A")),IF(E38="arme à feu",IF(ISNUMBER(J38),IF(ISNUMBER(K38),MIN(J38,K38),J38),"N/A"),"N/A"))</f>
        <v>850</v>
      </c>
      <c r="Q38" s="0" t="str">
        <f aca="false">IF(NOT(ISNUMBER(P38)),"aucune vitesse définie",IF(E38="arme à feu",IF(AND(ISNUMBER(K38),ISNUMBER(J38),K38&lt;J38),"vitesse max fixée (inférieure à la bouche)","vitesse initiale (bouche)"),IF(AND(ISNUMBER(K38),ISNUMBER(L38)),"médiane fichier / wiki / calcul",IF(ISNUMBER(L38),"wiki Delta-V",IF(ISNUMBER(K38),"vitesse fixée du fichier","calcul ("&amp;N38&amp;IF(AND(N38="fusée",M38&gt;O38),", plafonné","")&amp;")")))))</f>
        <v>vitesse initiale (bouche)</v>
      </c>
      <c r="R38" s="32" t="n">
        <f aca="false">IF(ISNUMBER(P38),IF(E38="arme à feu",IF($B$10=1,P38,"N/A"),P38),"N/A")</f>
        <v>850</v>
      </c>
      <c r="S38" s="33" t="n">
        <f aca="false">IF(ISNUMBER(R38),ROUND(1+9*(SUMPRODUCT(ISNUMBER($R$21:$R$153)*($R$21:$R$153&lt;=R38))-1)/(COUNT($R$21:$R$153)-1),1),"N/A")</f>
        <v>4.5</v>
      </c>
      <c r="T38" s="34"/>
    </row>
    <row r="39" customFormat="false" ht="15" hidden="false" customHeight="false" outlineLevel="0" collapsed="false">
      <c r="A39" s="0" t="str">
        <f aca="false">B39&amp;"|"&amp;C39</f>
        <v>127mm Cannon|Jeu de base</v>
      </c>
      <c r="B39" s="0" t="s">
        <v>66</v>
      </c>
      <c r="C39" s="0" t="s">
        <v>36</v>
      </c>
      <c r="D39" s="0" t="s">
        <v>64</v>
      </c>
      <c r="E39" s="0" t="str">
        <f aca="false">IF(ISNUMBER(G39),"propulsé",IF(D39="Canon / mitrailleuse / lance-grenade","arme à feu","autre"))</f>
        <v>arme à feu</v>
      </c>
      <c r="F39" s="27" t="n">
        <v>32</v>
      </c>
      <c r="G39" s="28"/>
      <c r="H39" s="29"/>
      <c r="I39" s="27"/>
      <c r="J39" s="28" t="n">
        <v>850</v>
      </c>
      <c r="K39" s="30" t="n">
        <v>850</v>
      </c>
      <c r="L39" s="30"/>
      <c r="M39" s="31" t="str">
        <f aca="false">IF(AND(ISNUMBER(G39),ISNUMBER(H39),ISNUMBER(I39),ISNUMBER(F39)),IF(AND(G39&gt;0,H39&gt;0,I39&gt;0,F39&gt;I39),G39*H39/I39*LN(F39/(F39-I39)),"N/A"),"N/A")</f>
        <v>N/A</v>
      </c>
      <c r="N39" s="0" t="str">
        <f aca="false">IF(ISNUMBER(M39),IF(AND(H39&gt;=$B$7,G39/(F39*$B$9)&lt;$B$8),"croisière","fusée"),"N/A")</f>
        <v>N/A</v>
      </c>
      <c r="O39" s="32" t="str">
        <f aca="false">IF(N39="fusée",MIN(M39,IF(C39="Jeu de base",$B$4,$B$5)),IF(N39="croisière",$B$6*SQRT(G39),"N/A"))</f>
        <v>N/A</v>
      </c>
      <c r="P39" s="32" t="n">
        <f aca="false">IF(E39="propulsé",IF(ISNUMBER(O39),IF(AND(ISNUMBER(K39),ISNUMBER(L39)),MEDIAN(K39,L39,O39),IF(ISNUMBER(L39),L39,IF(ISNUMBER(K39),K39,O39))),IF(ISNUMBER(K39),K39,"N/A")),IF(E39="arme à feu",IF(ISNUMBER(J39),IF(ISNUMBER(K39),MIN(J39,K39),J39),"N/A"),"N/A"))</f>
        <v>850</v>
      </c>
      <c r="Q39" s="0" t="str">
        <f aca="false">IF(NOT(ISNUMBER(P39)),"aucune vitesse définie",IF(E39="arme à feu",IF(AND(ISNUMBER(K39),ISNUMBER(J39),K39&lt;J39),"vitesse max fixée (inférieure à la bouche)","vitesse initiale (bouche)"),IF(AND(ISNUMBER(K39),ISNUMBER(L39)),"médiane fichier / wiki / calcul",IF(ISNUMBER(L39),"wiki Delta-V",IF(ISNUMBER(K39),"vitesse fixée du fichier","calcul ("&amp;N39&amp;IF(AND(N39="fusée",M39&gt;O39),", plafonné","")&amp;")")))))</f>
        <v>vitesse initiale (bouche)</v>
      </c>
      <c r="R39" s="32" t="n">
        <f aca="false">IF(ISNUMBER(P39),IF(E39="arme à feu",IF($B$10=1,P39,"N/A"),P39),"N/A")</f>
        <v>850</v>
      </c>
      <c r="S39" s="33" t="n">
        <f aca="false">IF(ISNUMBER(R39),ROUND(1+9*(SUMPRODUCT(ISNUMBER($R$21:$R$153)*($R$21:$R$153&lt;=R39))-1)/(COUNT($R$21:$R$153)-1),1),"N/A")</f>
        <v>4.5</v>
      </c>
      <c r="T39" s="34"/>
    </row>
    <row r="40" customFormat="false" ht="15" hidden="false" customHeight="false" outlineLevel="0" collapsed="false">
      <c r="A40" s="0" t="str">
        <f aca="false">B40&amp;"|"&amp;C40</f>
        <v>130mm Cannon|Jeu de base</v>
      </c>
      <c r="B40" s="0" t="s">
        <v>67</v>
      </c>
      <c r="C40" s="0" t="s">
        <v>36</v>
      </c>
      <c r="D40" s="0" t="s">
        <v>64</v>
      </c>
      <c r="E40" s="0" t="str">
        <f aca="false">IF(ISNUMBER(G40),"propulsé",IF(D40="Canon / mitrailleuse / lance-grenade","arme à feu","autre"))</f>
        <v>arme à feu</v>
      </c>
      <c r="F40" s="27" t="n">
        <v>30</v>
      </c>
      <c r="G40" s="28"/>
      <c r="H40" s="29"/>
      <c r="I40" s="27"/>
      <c r="J40" s="28" t="n">
        <v>1700</v>
      </c>
      <c r="K40" s="30"/>
      <c r="L40" s="30"/>
      <c r="M40" s="31" t="str">
        <f aca="false">IF(AND(ISNUMBER(G40),ISNUMBER(H40),ISNUMBER(I40),ISNUMBER(F40)),IF(AND(G40&gt;0,H40&gt;0,I40&gt;0,F40&gt;I40),G40*H40/I40*LN(F40/(F40-I40)),"N/A"),"N/A")</f>
        <v>N/A</v>
      </c>
      <c r="N40" s="0" t="str">
        <f aca="false">IF(ISNUMBER(M40),IF(AND(H40&gt;=$B$7,G40/(F40*$B$9)&lt;$B$8),"croisière","fusée"),"N/A")</f>
        <v>N/A</v>
      </c>
      <c r="O40" s="32" t="str">
        <f aca="false">IF(N40="fusée",MIN(M40,IF(C40="Jeu de base",$B$4,$B$5)),IF(N40="croisière",$B$6*SQRT(G40),"N/A"))</f>
        <v>N/A</v>
      </c>
      <c r="P40" s="32" t="n">
        <f aca="false">IF(E40="propulsé",IF(ISNUMBER(O40),IF(AND(ISNUMBER(K40),ISNUMBER(L40)),MEDIAN(K40,L40,O40),IF(ISNUMBER(L40),L40,IF(ISNUMBER(K40),K40,O40))),IF(ISNUMBER(K40),K40,"N/A")),IF(E40="arme à feu",IF(ISNUMBER(J40),IF(ISNUMBER(K40),MIN(J40,K40),J40),"N/A"),"N/A"))</f>
        <v>1700</v>
      </c>
      <c r="Q40" s="0" t="str">
        <f aca="false">IF(NOT(ISNUMBER(P40)),"aucune vitesse définie",IF(E40="arme à feu",IF(AND(ISNUMBER(K40),ISNUMBER(J40),K40&lt;J40),"vitesse max fixée (inférieure à la bouche)","vitesse initiale (bouche)"),IF(AND(ISNUMBER(K40),ISNUMBER(L40)),"médiane fichier / wiki / calcul",IF(ISNUMBER(L40),"wiki Delta-V",IF(ISNUMBER(K40),"vitesse fixée du fichier","calcul ("&amp;N40&amp;IF(AND(N40="fusée",M40&gt;O40),", plafonné","")&amp;")")))))</f>
        <v>vitesse initiale (bouche)</v>
      </c>
      <c r="R40" s="32" t="n">
        <f aca="false">IF(ISNUMBER(P40),IF(E40="arme à feu",IF($B$10=1,P40,"N/A"),P40),"N/A")</f>
        <v>1700</v>
      </c>
      <c r="S40" s="33" t="n">
        <f aca="false">IF(ISNUMBER(R40),ROUND(1+9*(SUMPRODUCT(ISNUMBER($R$21:$R$153)*($R$21:$R$153&lt;=R40))-1)/(COUNT($R$21:$R$153)-1),1),"N/A")</f>
        <v>8.8</v>
      </c>
      <c r="T40" s="34"/>
    </row>
    <row r="41" customFormat="false" ht="15" hidden="false" customHeight="false" outlineLevel="0" collapsed="false">
      <c r="A41" s="0" t="str">
        <f aca="false">B41&amp;"|"&amp;C41</f>
        <v>155mm Cannon|Jeu de base</v>
      </c>
      <c r="B41" s="0" t="s">
        <v>68</v>
      </c>
      <c r="C41" s="0" t="s">
        <v>36</v>
      </c>
      <c r="D41" s="0" t="s">
        <v>64</v>
      </c>
      <c r="E41" s="0" t="str">
        <f aca="false">IF(ISNUMBER(G41),"propulsé",IF(D41="Canon / mitrailleuse / lance-grenade","arme à feu","autre"))</f>
        <v>arme à feu</v>
      </c>
      <c r="F41" s="27" t="n">
        <v>45</v>
      </c>
      <c r="G41" s="28"/>
      <c r="H41" s="29"/>
      <c r="I41" s="27"/>
      <c r="J41" s="28" t="n">
        <v>850</v>
      </c>
      <c r="K41" s="30" t="n">
        <v>850</v>
      </c>
      <c r="L41" s="30"/>
      <c r="M41" s="31" t="str">
        <f aca="false">IF(AND(ISNUMBER(G41),ISNUMBER(H41),ISNUMBER(I41),ISNUMBER(F41)),IF(AND(G41&gt;0,H41&gt;0,I41&gt;0,F41&gt;I41),G41*H41/I41*LN(F41/(F41-I41)),"N/A"),"N/A")</f>
        <v>N/A</v>
      </c>
      <c r="N41" s="0" t="str">
        <f aca="false">IF(ISNUMBER(M41),IF(AND(H41&gt;=$B$7,G41/(F41*$B$9)&lt;$B$8),"croisière","fusée"),"N/A")</f>
        <v>N/A</v>
      </c>
      <c r="O41" s="32" t="str">
        <f aca="false">IF(N41="fusée",MIN(M41,IF(C41="Jeu de base",$B$4,$B$5)),IF(N41="croisière",$B$6*SQRT(G41),"N/A"))</f>
        <v>N/A</v>
      </c>
      <c r="P41" s="32" t="n">
        <f aca="false">IF(E41="propulsé",IF(ISNUMBER(O41),IF(AND(ISNUMBER(K41),ISNUMBER(L41)),MEDIAN(K41,L41,O41),IF(ISNUMBER(L41),L41,IF(ISNUMBER(K41),K41,O41))),IF(ISNUMBER(K41),K41,"N/A")),IF(E41="arme à feu",IF(ISNUMBER(J41),IF(ISNUMBER(K41),MIN(J41,K41),J41),"N/A"),"N/A"))</f>
        <v>850</v>
      </c>
      <c r="Q41" s="0" t="str">
        <f aca="false">IF(NOT(ISNUMBER(P41)),"aucune vitesse définie",IF(E41="arme à feu",IF(AND(ISNUMBER(K41),ISNUMBER(J41),K41&lt;J41),"vitesse max fixée (inférieure à la bouche)","vitesse initiale (bouche)"),IF(AND(ISNUMBER(K41),ISNUMBER(L41)),"médiane fichier / wiki / calcul",IF(ISNUMBER(L41),"wiki Delta-V",IF(ISNUMBER(K41),"vitesse fixée du fichier","calcul ("&amp;N41&amp;IF(AND(N41="fusée",M41&gt;O41),", plafonné","")&amp;")")))))</f>
        <v>vitesse initiale (bouche)</v>
      </c>
      <c r="R41" s="32" t="n">
        <f aca="false">IF(ISNUMBER(P41),IF(E41="arme à feu",IF($B$10=1,P41,"N/A"),P41),"N/A")</f>
        <v>850</v>
      </c>
      <c r="S41" s="33" t="n">
        <f aca="false">IF(ISNUMBER(R41),ROUND(1+9*(SUMPRODUCT(ISNUMBER($R$21:$R$153)*($R$21:$R$153&lt;=R41))-1)/(COUNT($R$21:$R$153)-1),1),"N/A")</f>
        <v>4.5</v>
      </c>
      <c r="T41" s="34"/>
    </row>
    <row r="42" customFormat="false" ht="15" hidden="false" customHeight="false" outlineLevel="0" collapsed="false">
      <c r="A42" s="0" t="str">
        <f aca="false">B42&amp;"|"&amp;C42</f>
        <v>155mm Railgun|Jeu de base</v>
      </c>
      <c r="B42" s="0" t="s">
        <v>69</v>
      </c>
      <c r="C42" s="0" t="s">
        <v>36</v>
      </c>
      <c r="D42" s="0" t="s">
        <v>64</v>
      </c>
      <c r="E42" s="0" t="str">
        <f aca="false">IF(ISNUMBER(G42),"propulsé",IF(D42="Canon / mitrailleuse / lance-grenade","arme à feu","autre"))</f>
        <v>arme à feu</v>
      </c>
      <c r="F42" s="27" t="n">
        <v>50</v>
      </c>
      <c r="G42" s="28"/>
      <c r="H42" s="29"/>
      <c r="I42" s="27"/>
      <c r="J42" s="28" t="n">
        <v>2380</v>
      </c>
      <c r="K42" s="30"/>
      <c r="L42" s="30"/>
      <c r="M42" s="31" t="str">
        <f aca="false">IF(AND(ISNUMBER(G42),ISNUMBER(H42),ISNUMBER(I42),ISNUMBER(F42)),IF(AND(G42&gt;0,H42&gt;0,I42&gt;0,F42&gt;I42),G42*H42/I42*LN(F42/(F42-I42)),"N/A"),"N/A")</f>
        <v>N/A</v>
      </c>
      <c r="N42" s="0" t="str">
        <f aca="false">IF(ISNUMBER(M42),IF(AND(H42&gt;=$B$7,G42/(F42*$B$9)&lt;$B$8),"croisière","fusée"),"N/A")</f>
        <v>N/A</v>
      </c>
      <c r="O42" s="32" t="str">
        <f aca="false">IF(N42="fusée",MIN(M42,IF(C42="Jeu de base",$B$4,$B$5)),IF(N42="croisière",$B$6*SQRT(G42),"N/A"))</f>
        <v>N/A</v>
      </c>
      <c r="P42" s="32" t="n">
        <f aca="false">IF(E42="propulsé",IF(ISNUMBER(O42),IF(AND(ISNUMBER(K42),ISNUMBER(L42)),MEDIAN(K42,L42,O42),IF(ISNUMBER(L42),L42,IF(ISNUMBER(K42),K42,O42))),IF(ISNUMBER(K42),K42,"N/A")),IF(E42="arme à feu",IF(ISNUMBER(J42),IF(ISNUMBER(K42),MIN(J42,K42),J42),"N/A"),"N/A"))</f>
        <v>2380</v>
      </c>
      <c r="Q42" s="0" t="str">
        <f aca="false">IF(NOT(ISNUMBER(P42)),"aucune vitesse définie",IF(E42="arme à feu",IF(AND(ISNUMBER(K42),ISNUMBER(J42),K42&lt;J42),"vitesse max fixée (inférieure à la bouche)","vitesse initiale (bouche)"),IF(AND(ISNUMBER(K42),ISNUMBER(L42)),"médiane fichier / wiki / calcul",IF(ISNUMBER(L42),"wiki Delta-V",IF(ISNUMBER(K42),"vitesse fixée du fichier","calcul ("&amp;N42&amp;IF(AND(N42="fusée",M42&gt;O42),", plafonné","")&amp;")")))))</f>
        <v>vitesse initiale (bouche)</v>
      </c>
      <c r="R42" s="32" t="n">
        <f aca="false">IF(ISNUMBER(P42),IF(E42="arme à feu",IF($B$10=1,P42,"N/A"),P42),"N/A")</f>
        <v>2380</v>
      </c>
      <c r="S42" s="33" t="n">
        <f aca="false">IF(ISNUMBER(R42),ROUND(1+9*(SUMPRODUCT(ISNUMBER($R$21:$R$153)*($R$21:$R$153&lt;=R42))-1)/(COUNT($R$21:$R$153)-1),1),"N/A")</f>
        <v>9.7</v>
      </c>
      <c r="T42" s="34"/>
    </row>
    <row r="43" customFormat="false" ht="15" hidden="false" customHeight="false" outlineLevel="0" collapsed="false">
      <c r="A43" s="0" t="str">
        <f aca="false">B43&amp;"|"&amp;C43</f>
        <v>20mm Autocannon|Jeu de base</v>
      </c>
      <c r="B43" s="0" t="s">
        <v>70</v>
      </c>
      <c r="C43" s="0" t="s">
        <v>36</v>
      </c>
      <c r="D43" s="0" t="s">
        <v>64</v>
      </c>
      <c r="E43" s="0" t="str">
        <f aca="false">IF(ISNUMBER(G43),"propulsé",IF(D43="Canon / mitrailleuse / lance-grenade","arme à feu","autre"))</f>
        <v>arme à feu</v>
      </c>
      <c r="F43" s="27" t="n">
        <v>0.27</v>
      </c>
      <c r="G43" s="28"/>
      <c r="H43" s="29"/>
      <c r="I43" s="27"/>
      <c r="J43" s="28" t="n">
        <v>1100</v>
      </c>
      <c r="K43" s="30"/>
      <c r="L43" s="30"/>
      <c r="M43" s="31" t="str">
        <f aca="false">IF(AND(ISNUMBER(G43),ISNUMBER(H43),ISNUMBER(I43),ISNUMBER(F43)),IF(AND(G43&gt;0,H43&gt;0,I43&gt;0,F43&gt;I43),G43*H43/I43*LN(F43/(F43-I43)),"N/A"),"N/A")</f>
        <v>N/A</v>
      </c>
      <c r="N43" s="0" t="str">
        <f aca="false">IF(ISNUMBER(M43),IF(AND(H43&gt;=$B$7,G43/(F43*$B$9)&lt;$B$8),"croisière","fusée"),"N/A")</f>
        <v>N/A</v>
      </c>
      <c r="O43" s="32" t="str">
        <f aca="false">IF(N43="fusée",MIN(M43,IF(C43="Jeu de base",$B$4,$B$5)),IF(N43="croisière",$B$6*SQRT(G43),"N/A"))</f>
        <v>N/A</v>
      </c>
      <c r="P43" s="32" t="n">
        <f aca="false">IF(E43="propulsé",IF(ISNUMBER(O43),IF(AND(ISNUMBER(K43),ISNUMBER(L43)),MEDIAN(K43,L43,O43),IF(ISNUMBER(L43),L43,IF(ISNUMBER(K43),K43,O43))),IF(ISNUMBER(K43),K43,"N/A")),IF(E43="arme à feu",IF(ISNUMBER(J43),IF(ISNUMBER(K43),MIN(J43,K43),J43),"N/A"),"N/A"))</f>
        <v>1100</v>
      </c>
      <c r="Q43" s="0" t="str">
        <f aca="false">IF(NOT(ISNUMBER(P43)),"aucune vitesse définie",IF(E43="arme à feu",IF(AND(ISNUMBER(K43),ISNUMBER(J43),K43&lt;J43),"vitesse max fixée (inférieure à la bouche)","vitesse initiale (bouche)"),IF(AND(ISNUMBER(K43),ISNUMBER(L43)),"médiane fichier / wiki / calcul",IF(ISNUMBER(L43),"wiki Delta-V",IF(ISNUMBER(K43),"vitesse fixée du fichier","calcul ("&amp;N43&amp;IF(AND(N43="fusée",M43&gt;O43),", plafonné","")&amp;")")))))</f>
        <v>vitesse initiale (bouche)</v>
      </c>
      <c r="R43" s="32" t="n">
        <f aca="false">IF(ISNUMBER(P43),IF(E43="arme à feu",IF($B$10=1,P43,"N/A"),P43),"N/A")</f>
        <v>1100</v>
      </c>
      <c r="S43" s="33" t="n">
        <f aca="false">IF(ISNUMBER(R43),ROUND(1+9*(SUMPRODUCT(ISNUMBER($R$21:$R$153)*($R$21:$R$153&lt;=R43))-1)/(COUNT($R$21:$R$153)-1),1),"N/A")</f>
        <v>7.1</v>
      </c>
      <c r="T43" s="34"/>
    </row>
    <row r="44" customFormat="false" ht="15" hidden="false" customHeight="false" outlineLevel="0" collapsed="false">
      <c r="A44" s="0" t="str">
        <f aca="false">B44&amp;"|"&amp;C44</f>
        <v>20mm Rotary Cannon (variante 1)|Jeu de base</v>
      </c>
      <c r="B44" s="0" t="s">
        <v>71</v>
      </c>
      <c r="C44" s="0" t="s">
        <v>36</v>
      </c>
      <c r="D44" s="0" t="s">
        <v>64</v>
      </c>
      <c r="E44" s="0" t="str">
        <f aca="false">IF(ISNUMBER(G44),"propulsé",IF(D44="Canon / mitrailleuse / lance-grenade","arme à feu","autre"))</f>
        <v>arme à feu</v>
      </c>
      <c r="F44" s="27" t="n">
        <v>0.27</v>
      </c>
      <c r="G44" s="28"/>
      <c r="H44" s="29"/>
      <c r="I44" s="27"/>
      <c r="J44" s="28" t="n">
        <v>1100</v>
      </c>
      <c r="K44" s="30"/>
      <c r="L44" s="30"/>
      <c r="M44" s="31" t="str">
        <f aca="false">IF(AND(ISNUMBER(G44),ISNUMBER(H44),ISNUMBER(I44),ISNUMBER(F44)),IF(AND(G44&gt;0,H44&gt;0,I44&gt;0,F44&gt;I44),G44*H44/I44*LN(F44/(F44-I44)),"N/A"),"N/A")</f>
        <v>N/A</v>
      </c>
      <c r="N44" s="0" t="str">
        <f aca="false">IF(ISNUMBER(M44),IF(AND(H44&gt;=$B$7,G44/(F44*$B$9)&lt;$B$8),"croisière","fusée"),"N/A")</f>
        <v>N/A</v>
      </c>
      <c r="O44" s="32" t="str">
        <f aca="false">IF(N44="fusée",MIN(M44,IF(C44="Jeu de base",$B$4,$B$5)),IF(N44="croisière",$B$6*SQRT(G44),"N/A"))</f>
        <v>N/A</v>
      </c>
      <c r="P44" s="32" t="n">
        <f aca="false">IF(E44="propulsé",IF(ISNUMBER(O44),IF(AND(ISNUMBER(K44),ISNUMBER(L44)),MEDIAN(K44,L44,O44),IF(ISNUMBER(L44),L44,IF(ISNUMBER(K44),K44,O44))),IF(ISNUMBER(K44),K44,"N/A")),IF(E44="arme à feu",IF(ISNUMBER(J44),IF(ISNUMBER(K44),MIN(J44,K44),J44),"N/A"),"N/A"))</f>
        <v>1100</v>
      </c>
      <c r="Q44" s="0" t="str">
        <f aca="false">IF(NOT(ISNUMBER(P44)),"aucune vitesse définie",IF(E44="arme à feu",IF(AND(ISNUMBER(K44),ISNUMBER(J44),K44&lt;J44),"vitesse max fixée (inférieure à la bouche)","vitesse initiale (bouche)"),IF(AND(ISNUMBER(K44),ISNUMBER(L44)),"médiane fichier / wiki / calcul",IF(ISNUMBER(L44),"wiki Delta-V",IF(ISNUMBER(K44),"vitesse fixée du fichier","calcul ("&amp;N44&amp;IF(AND(N44="fusée",M44&gt;O44),", plafonné","")&amp;")")))))</f>
        <v>vitesse initiale (bouche)</v>
      </c>
      <c r="R44" s="32" t="n">
        <f aca="false">IF(ISNUMBER(P44),IF(E44="arme à feu",IF($B$10=1,P44,"N/A"),P44),"N/A")</f>
        <v>1100</v>
      </c>
      <c r="S44" s="33" t="n">
        <f aca="false">IF(ISNUMBER(R44),ROUND(1+9*(SUMPRODUCT(ISNUMBER($R$21:$R$153)*($R$21:$R$153&lt;=R44))-1)/(COUNT($R$21:$R$153)-1),1),"N/A")</f>
        <v>7.1</v>
      </c>
      <c r="T44" s="34"/>
    </row>
    <row r="45" customFormat="false" ht="15" hidden="false" customHeight="false" outlineLevel="0" collapsed="false">
      <c r="A45" s="0" t="str">
        <f aca="false">B45&amp;"|"&amp;C45</f>
        <v>20mm Rotary Cannon (variante 2)|Jeu de base</v>
      </c>
      <c r="B45" s="0" t="s">
        <v>72</v>
      </c>
      <c r="C45" s="0" t="s">
        <v>36</v>
      </c>
      <c r="D45" s="0" t="s">
        <v>64</v>
      </c>
      <c r="E45" s="0" t="str">
        <f aca="false">IF(ISNUMBER(G45),"propulsé",IF(D45="Canon / mitrailleuse / lance-grenade","arme à feu","autre"))</f>
        <v>arme à feu</v>
      </c>
      <c r="F45" s="27" t="n">
        <v>0.27</v>
      </c>
      <c r="G45" s="28"/>
      <c r="H45" s="29"/>
      <c r="I45" s="27"/>
      <c r="J45" s="28" t="n">
        <v>1100</v>
      </c>
      <c r="K45" s="30"/>
      <c r="L45" s="30"/>
      <c r="M45" s="31" t="str">
        <f aca="false">IF(AND(ISNUMBER(G45),ISNUMBER(H45),ISNUMBER(I45),ISNUMBER(F45)),IF(AND(G45&gt;0,H45&gt;0,I45&gt;0,F45&gt;I45),G45*H45/I45*LN(F45/(F45-I45)),"N/A"),"N/A")</f>
        <v>N/A</v>
      </c>
      <c r="N45" s="0" t="str">
        <f aca="false">IF(ISNUMBER(M45),IF(AND(H45&gt;=$B$7,G45/(F45*$B$9)&lt;$B$8),"croisière","fusée"),"N/A")</f>
        <v>N/A</v>
      </c>
      <c r="O45" s="32" t="str">
        <f aca="false">IF(N45="fusée",MIN(M45,IF(C45="Jeu de base",$B$4,$B$5)),IF(N45="croisière",$B$6*SQRT(G45),"N/A"))</f>
        <v>N/A</v>
      </c>
      <c r="P45" s="32" t="n">
        <f aca="false">IF(E45="propulsé",IF(ISNUMBER(O45),IF(AND(ISNUMBER(K45),ISNUMBER(L45)),MEDIAN(K45,L45,O45),IF(ISNUMBER(L45),L45,IF(ISNUMBER(K45),K45,O45))),IF(ISNUMBER(K45),K45,"N/A")),IF(E45="arme à feu",IF(ISNUMBER(J45),IF(ISNUMBER(K45),MIN(J45,K45),J45),"N/A"),"N/A"))</f>
        <v>1100</v>
      </c>
      <c r="Q45" s="0" t="str">
        <f aca="false">IF(NOT(ISNUMBER(P45)),"aucune vitesse définie",IF(E45="arme à feu",IF(AND(ISNUMBER(K45),ISNUMBER(J45),K45&lt;J45),"vitesse max fixée (inférieure à la bouche)","vitesse initiale (bouche)"),IF(AND(ISNUMBER(K45),ISNUMBER(L45)),"médiane fichier / wiki / calcul",IF(ISNUMBER(L45),"wiki Delta-V",IF(ISNUMBER(K45),"vitesse fixée du fichier","calcul ("&amp;N45&amp;IF(AND(N45="fusée",M45&gt;O45),", plafonné","")&amp;")")))))</f>
        <v>vitesse initiale (bouche)</v>
      </c>
      <c r="R45" s="32" t="n">
        <f aca="false">IF(ISNUMBER(P45),IF(E45="arme à feu",IF($B$10=1,P45,"N/A"),P45),"N/A")</f>
        <v>1100</v>
      </c>
      <c r="S45" s="33" t="n">
        <f aca="false">IF(ISNUMBER(R45),ROUND(1+9*(SUMPRODUCT(ISNUMBER($R$21:$R$153)*($R$21:$R$153&lt;=R45))-1)/(COUNT($R$21:$R$153)-1),1),"N/A")</f>
        <v>7.1</v>
      </c>
      <c r="T45" s="34"/>
    </row>
    <row r="46" customFormat="false" ht="15" hidden="false" customHeight="false" outlineLevel="0" collapsed="false">
      <c r="A46" s="0" t="str">
        <f aca="false">B46&amp;"|"&amp;C46</f>
        <v>20mm Rotary Cannon (variante 3)|Jeu de base</v>
      </c>
      <c r="B46" s="0" t="s">
        <v>73</v>
      </c>
      <c r="C46" s="0" t="s">
        <v>36</v>
      </c>
      <c r="D46" s="0" t="s">
        <v>64</v>
      </c>
      <c r="E46" s="0" t="str">
        <f aca="false">IF(ISNUMBER(G46),"propulsé",IF(D46="Canon / mitrailleuse / lance-grenade","arme à feu","autre"))</f>
        <v>arme à feu</v>
      </c>
      <c r="F46" s="27" t="n">
        <v>0.27</v>
      </c>
      <c r="G46" s="28"/>
      <c r="H46" s="29"/>
      <c r="I46" s="27"/>
      <c r="J46" s="28" t="n">
        <v>1040</v>
      </c>
      <c r="K46" s="30" t="n">
        <v>1100</v>
      </c>
      <c r="L46" s="30"/>
      <c r="M46" s="31" t="str">
        <f aca="false">IF(AND(ISNUMBER(G46),ISNUMBER(H46),ISNUMBER(I46),ISNUMBER(F46)),IF(AND(G46&gt;0,H46&gt;0,I46&gt;0,F46&gt;I46),G46*H46/I46*LN(F46/(F46-I46)),"N/A"),"N/A")</f>
        <v>N/A</v>
      </c>
      <c r="N46" s="0" t="str">
        <f aca="false">IF(ISNUMBER(M46),IF(AND(H46&gt;=$B$7,G46/(F46*$B$9)&lt;$B$8),"croisière","fusée"),"N/A")</f>
        <v>N/A</v>
      </c>
      <c r="O46" s="32" t="str">
        <f aca="false">IF(N46="fusée",MIN(M46,IF(C46="Jeu de base",$B$4,$B$5)),IF(N46="croisière",$B$6*SQRT(G46),"N/A"))</f>
        <v>N/A</v>
      </c>
      <c r="P46" s="32" t="n">
        <f aca="false">IF(E46="propulsé",IF(ISNUMBER(O46),IF(AND(ISNUMBER(K46),ISNUMBER(L46)),MEDIAN(K46,L46,O46),IF(ISNUMBER(L46),L46,IF(ISNUMBER(K46),K46,O46))),IF(ISNUMBER(K46),K46,"N/A")),IF(E46="arme à feu",IF(ISNUMBER(J46),IF(ISNUMBER(K46),MIN(J46,K46),J46),"N/A"),"N/A"))</f>
        <v>1040</v>
      </c>
      <c r="Q46" s="0" t="str">
        <f aca="false">IF(NOT(ISNUMBER(P46)),"aucune vitesse définie",IF(E46="arme à feu",IF(AND(ISNUMBER(K46),ISNUMBER(J46),K46&lt;J46),"vitesse max fixée (inférieure à la bouche)","vitesse initiale (bouche)"),IF(AND(ISNUMBER(K46),ISNUMBER(L46)),"médiane fichier / wiki / calcul",IF(ISNUMBER(L46),"wiki Delta-V",IF(ISNUMBER(K46),"vitesse fixée du fichier","calcul ("&amp;N46&amp;IF(AND(N46="fusée",M46&gt;O46),", plafonné","")&amp;")")))))</f>
        <v>vitesse initiale (bouche)</v>
      </c>
      <c r="R46" s="32" t="n">
        <f aca="false">IF(ISNUMBER(P46),IF(E46="arme à feu",IF($B$10=1,P46,"N/A"),P46),"N/A")</f>
        <v>1040</v>
      </c>
      <c r="S46" s="33" t="n">
        <f aca="false">IF(ISNUMBER(R46),ROUND(1+9*(SUMPRODUCT(ISNUMBER($R$21:$R$153)*($R$21:$R$153&lt;=R46))-1)/(COUNT($R$21:$R$153)-1),1),"N/A")</f>
        <v>5.6</v>
      </c>
      <c r="T46" s="34"/>
    </row>
    <row r="47" customFormat="false" ht="15" hidden="false" customHeight="false" outlineLevel="0" collapsed="false">
      <c r="A47" s="0" t="str">
        <f aca="false">B47&amp;"|"&amp;C47</f>
        <v>23mm Autocannon|Jeu de base</v>
      </c>
      <c r="B47" s="0" t="s">
        <v>74</v>
      </c>
      <c r="C47" s="0" t="s">
        <v>36</v>
      </c>
      <c r="D47" s="0" t="s">
        <v>64</v>
      </c>
      <c r="E47" s="0" t="str">
        <f aca="false">IF(ISNUMBER(G47),"propulsé",IF(D47="Canon / mitrailleuse / lance-grenade","arme à feu","autre"))</f>
        <v>arme à feu</v>
      </c>
      <c r="F47" s="27" t="n">
        <v>0.4</v>
      </c>
      <c r="G47" s="28"/>
      <c r="H47" s="29"/>
      <c r="I47" s="27"/>
      <c r="J47" s="28" t="n">
        <v>980</v>
      </c>
      <c r="K47" s="30" t="n">
        <v>980</v>
      </c>
      <c r="L47" s="30"/>
      <c r="M47" s="31" t="str">
        <f aca="false">IF(AND(ISNUMBER(G47),ISNUMBER(H47),ISNUMBER(I47),ISNUMBER(F47)),IF(AND(G47&gt;0,H47&gt;0,I47&gt;0,F47&gt;I47),G47*H47/I47*LN(F47/(F47-I47)),"N/A"),"N/A")</f>
        <v>N/A</v>
      </c>
      <c r="N47" s="0" t="str">
        <f aca="false">IF(ISNUMBER(M47),IF(AND(H47&gt;=$B$7,G47/(F47*$B$9)&lt;$B$8),"croisière","fusée"),"N/A")</f>
        <v>N/A</v>
      </c>
      <c r="O47" s="32" t="str">
        <f aca="false">IF(N47="fusée",MIN(M47,IF(C47="Jeu de base",$B$4,$B$5)),IF(N47="croisière",$B$6*SQRT(G47),"N/A"))</f>
        <v>N/A</v>
      </c>
      <c r="P47" s="32" t="n">
        <f aca="false">IF(E47="propulsé",IF(ISNUMBER(O47),IF(AND(ISNUMBER(K47),ISNUMBER(L47)),MEDIAN(K47,L47,O47),IF(ISNUMBER(L47),L47,IF(ISNUMBER(K47),K47,O47))),IF(ISNUMBER(K47),K47,"N/A")),IF(E47="arme à feu",IF(ISNUMBER(J47),IF(ISNUMBER(K47),MIN(J47,K47),J47),"N/A"),"N/A"))</f>
        <v>980</v>
      </c>
      <c r="Q47" s="0" t="str">
        <f aca="false">IF(NOT(ISNUMBER(P47)),"aucune vitesse définie",IF(E47="arme à feu",IF(AND(ISNUMBER(K47),ISNUMBER(J47),K47&lt;J47),"vitesse max fixée (inférieure à la bouche)","vitesse initiale (bouche)"),IF(AND(ISNUMBER(K47),ISNUMBER(L47)),"médiane fichier / wiki / calcul",IF(ISNUMBER(L47),"wiki Delta-V",IF(ISNUMBER(K47),"vitesse fixée du fichier","calcul ("&amp;N47&amp;IF(AND(N47="fusée",M47&gt;O47),", plafonné","")&amp;")")))))</f>
        <v>vitesse initiale (bouche)</v>
      </c>
      <c r="R47" s="32" t="n">
        <f aca="false">IF(ISNUMBER(P47),IF(E47="arme à feu",IF($B$10=1,P47,"N/A"),P47),"N/A")</f>
        <v>980</v>
      </c>
      <c r="S47" s="33" t="n">
        <f aca="false">IF(ISNUMBER(R47),ROUND(1+9*(SUMPRODUCT(ISNUMBER($R$21:$R$153)*($R$21:$R$153&lt;=R47))-1)/(COUNT($R$21:$R$153)-1),1),"N/A")</f>
        <v>5.2</v>
      </c>
      <c r="T47" s="34"/>
    </row>
    <row r="48" customFormat="false" ht="15" hidden="false" customHeight="false" outlineLevel="0" collapsed="false">
      <c r="A48" s="0" t="str">
        <f aca="false">B48&amp;"|"&amp;C48</f>
        <v>25mm Autocannon|Jeu de base</v>
      </c>
      <c r="B48" s="0" t="s">
        <v>75</v>
      </c>
      <c r="C48" s="0" t="s">
        <v>36</v>
      </c>
      <c r="D48" s="0" t="s">
        <v>64</v>
      </c>
      <c r="E48" s="0" t="str">
        <f aca="false">IF(ISNUMBER(G48),"propulsé",IF(D48="Canon / mitrailleuse / lance-grenade","arme à feu","autre"))</f>
        <v>arme à feu</v>
      </c>
      <c r="F48" s="27" t="n">
        <v>0.4</v>
      </c>
      <c r="G48" s="28"/>
      <c r="H48" s="29"/>
      <c r="I48" s="27"/>
      <c r="J48" s="28" t="n">
        <v>1100</v>
      </c>
      <c r="K48" s="30"/>
      <c r="L48" s="30"/>
      <c r="M48" s="31" t="str">
        <f aca="false">IF(AND(ISNUMBER(G48),ISNUMBER(H48),ISNUMBER(I48),ISNUMBER(F48)),IF(AND(G48&gt;0,H48&gt;0,I48&gt;0,F48&gt;I48),G48*H48/I48*LN(F48/(F48-I48)),"N/A"),"N/A")</f>
        <v>N/A</v>
      </c>
      <c r="N48" s="0" t="str">
        <f aca="false">IF(ISNUMBER(M48),IF(AND(H48&gt;=$B$7,G48/(F48*$B$9)&lt;$B$8),"croisière","fusée"),"N/A")</f>
        <v>N/A</v>
      </c>
      <c r="O48" s="32" t="str">
        <f aca="false">IF(N48="fusée",MIN(M48,IF(C48="Jeu de base",$B$4,$B$5)),IF(N48="croisière",$B$6*SQRT(G48),"N/A"))</f>
        <v>N/A</v>
      </c>
      <c r="P48" s="32" t="n">
        <f aca="false">IF(E48="propulsé",IF(ISNUMBER(O48),IF(AND(ISNUMBER(K48),ISNUMBER(L48)),MEDIAN(K48,L48,O48),IF(ISNUMBER(L48),L48,IF(ISNUMBER(K48),K48,O48))),IF(ISNUMBER(K48),K48,"N/A")),IF(E48="arme à feu",IF(ISNUMBER(J48),IF(ISNUMBER(K48),MIN(J48,K48),J48),"N/A"),"N/A"))</f>
        <v>1100</v>
      </c>
      <c r="Q48" s="0" t="str">
        <f aca="false">IF(NOT(ISNUMBER(P48)),"aucune vitesse définie",IF(E48="arme à feu",IF(AND(ISNUMBER(K48),ISNUMBER(J48),K48&lt;J48),"vitesse max fixée (inférieure à la bouche)","vitesse initiale (bouche)"),IF(AND(ISNUMBER(K48),ISNUMBER(L48)),"médiane fichier / wiki / calcul",IF(ISNUMBER(L48),"wiki Delta-V",IF(ISNUMBER(K48),"vitesse fixée du fichier","calcul ("&amp;N48&amp;IF(AND(N48="fusée",M48&gt;O48),", plafonné","")&amp;")")))))</f>
        <v>vitesse initiale (bouche)</v>
      </c>
      <c r="R48" s="32" t="n">
        <f aca="false">IF(ISNUMBER(P48),IF(E48="arme à feu",IF($B$10=1,P48,"N/A"),P48),"N/A")</f>
        <v>1100</v>
      </c>
      <c r="S48" s="33" t="n">
        <f aca="false">IF(ISNUMBER(R48),ROUND(1+9*(SUMPRODUCT(ISNUMBER($R$21:$R$153)*($R$21:$R$153&lt;=R48))-1)/(COUNT($R$21:$R$153)-1),1),"N/A")</f>
        <v>7.1</v>
      </c>
      <c r="T48" s="34"/>
    </row>
    <row r="49" customFormat="false" ht="15" hidden="false" customHeight="false" outlineLevel="0" collapsed="false">
      <c r="A49" s="0" t="str">
        <f aca="false">B49&amp;"|"&amp;C49</f>
        <v>25mm Rotary Cannon|Jeu de base</v>
      </c>
      <c r="B49" s="0" t="s">
        <v>76</v>
      </c>
      <c r="C49" s="0" t="s">
        <v>36</v>
      </c>
      <c r="D49" s="0" t="s">
        <v>64</v>
      </c>
      <c r="E49" s="0" t="str">
        <f aca="false">IF(ISNUMBER(G49),"propulsé",IF(D49="Canon / mitrailleuse / lance-grenade","arme à feu","autre"))</f>
        <v>arme à feu</v>
      </c>
      <c r="F49" s="27" t="n">
        <v>0.4</v>
      </c>
      <c r="G49" s="28"/>
      <c r="H49" s="29"/>
      <c r="I49" s="27"/>
      <c r="J49" s="28" t="n">
        <v>1100</v>
      </c>
      <c r="K49" s="30"/>
      <c r="L49" s="30"/>
      <c r="M49" s="31" t="str">
        <f aca="false">IF(AND(ISNUMBER(G49),ISNUMBER(H49),ISNUMBER(I49),ISNUMBER(F49)),IF(AND(G49&gt;0,H49&gt;0,I49&gt;0,F49&gt;I49),G49*H49/I49*LN(F49/(F49-I49)),"N/A"),"N/A")</f>
        <v>N/A</v>
      </c>
      <c r="N49" s="0" t="str">
        <f aca="false">IF(ISNUMBER(M49),IF(AND(H49&gt;=$B$7,G49/(F49*$B$9)&lt;$B$8),"croisière","fusée"),"N/A")</f>
        <v>N/A</v>
      </c>
      <c r="O49" s="32" t="str">
        <f aca="false">IF(N49="fusée",MIN(M49,IF(C49="Jeu de base",$B$4,$B$5)),IF(N49="croisière",$B$6*SQRT(G49),"N/A"))</f>
        <v>N/A</v>
      </c>
      <c r="P49" s="32" t="n">
        <f aca="false">IF(E49="propulsé",IF(ISNUMBER(O49),IF(AND(ISNUMBER(K49),ISNUMBER(L49)),MEDIAN(K49,L49,O49),IF(ISNUMBER(L49),L49,IF(ISNUMBER(K49),K49,O49))),IF(ISNUMBER(K49),K49,"N/A")),IF(E49="arme à feu",IF(ISNUMBER(J49),IF(ISNUMBER(K49),MIN(J49,K49),J49),"N/A"),"N/A"))</f>
        <v>1100</v>
      </c>
      <c r="Q49" s="0" t="str">
        <f aca="false">IF(NOT(ISNUMBER(P49)),"aucune vitesse définie",IF(E49="arme à feu",IF(AND(ISNUMBER(K49),ISNUMBER(J49),K49&lt;J49),"vitesse max fixée (inférieure à la bouche)","vitesse initiale (bouche)"),IF(AND(ISNUMBER(K49),ISNUMBER(L49)),"médiane fichier / wiki / calcul",IF(ISNUMBER(L49),"wiki Delta-V",IF(ISNUMBER(K49),"vitesse fixée du fichier","calcul ("&amp;N49&amp;IF(AND(N49="fusée",M49&gt;O49),", plafonné","")&amp;")")))))</f>
        <v>vitesse initiale (bouche)</v>
      </c>
      <c r="R49" s="32" t="n">
        <f aca="false">IF(ISNUMBER(P49),IF(E49="arme à feu",IF($B$10=1,P49,"N/A"),P49),"N/A")</f>
        <v>1100</v>
      </c>
      <c r="S49" s="33" t="n">
        <f aca="false">IF(ISNUMBER(R49),ROUND(1+9*(SUMPRODUCT(ISNUMBER($R$21:$R$153)*($R$21:$R$153&lt;=R49))-1)/(COUNT($R$21:$R$153)-1),1),"N/A")</f>
        <v>7.1</v>
      </c>
      <c r="T49" s="34"/>
    </row>
    <row r="50" customFormat="false" ht="15" hidden="false" customHeight="false" outlineLevel="0" collapsed="false">
      <c r="A50" s="0" t="str">
        <f aca="false">B50&amp;"|"&amp;C50</f>
        <v>27mm Autocannon|Jeu de base</v>
      </c>
      <c r="B50" s="0" t="s">
        <v>77</v>
      </c>
      <c r="C50" s="0" t="s">
        <v>36</v>
      </c>
      <c r="D50" s="0" t="s">
        <v>64</v>
      </c>
      <c r="E50" s="0" t="str">
        <f aca="false">IF(ISNUMBER(G50),"propulsé",IF(D50="Canon / mitrailleuse / lance-grenade","arme à feu","autre"))</f>
        <v>arme à feu</v>
      </c>
      <c r="F50" s="27" t="n">
        <v>0.45</v>
      </c>
      <c r="G50" s="28"/>
      <c r="H50" s="29"/>
      <c r="I50" s="27"/>
      <c r="J50" s="28" t="n">
        <v>1100</v>
      </c>
      <c r="K50" s="30"/>
      <c r="L50" s="30"/>
      <c r="M50" s="31" t="str">
        <f aca="false">IF(AND(ISNUMBER(G50),ISNUMBER(H50),ISNUMBER(I50),ISNUMBER(F50)),IF(AND(G50&gt;0,H50&gt;0,I50&gt;0,F50&gt;I50),G50*H50/I50*LN(F50/(F50-I50)),"N/A"),"N/A")</f>
        <v>N/A</v>
      </c>
      <c r="N50" s="0" t="str">
        <f aca="false">IF(ISNUMBER(M50),IF(AND(H50&gt;=$B$7,G50/(F50*$B$9)&lt;$B$8),"croisière","fusée"),"N/A")</f>
        <v>N/A</v>
      </c>
      <c r="O50" s="32" t="str">
        <f aca="false">IF(N50="fusée",MIN(M50,IF(C50="Jeu de base",$B$4,$B$5)),IF(N50="croisière",$B$6*SQRT(G50),"N/A"))</f>
        <v>N/A</v>
      </c>
      <c r="P50" s="32" t="n">
        <f aca="false">IF(E50="propulsé",IF(ISNUMBER(O50),IF(AND(ISNUMBER(K50),ISNUMBER(L50)),MEDIAN(K50,L50,O50),IF(ISNUMBER(L50),L50,IF(ISNUMBER(K50),K50,O50))),IF(ISNUMBER(K50),K50,"N/A")),IF(E50="arme à feu",IF(ISNUMBER(J50),IF(ISNUMBER(K50),MIN(J50,K50),J50),"N/A"),"N/A"))</f>
        <v>1100</v>
      </c>
      <c r="Q50" s="0" t="str">
        <f aca="false">IF(NOT(ISNUMBER(P50)),"aucune vitesse définie",IF(E50="arme à feu",IF(AND(ISNUMBER(K50),ISNUMBER(J50),K50&lt;J50),"vitesse max fixée (inférieure à la bouche)","vitesse initiale (bouche)"),IF(AND(ISNUMBER(K50),ISNUMBER(L50)),"médiane fichier / wiki / calcul",IF(ISNUMBER(L50),"wiki Delta-V",IF(ISNUMBER(K50),"vitesse fixée du fichier","calcul ("&amp;N50&amp;IF(AND(N50="fusée",M50&gt;O50),", plafonné","")&amp;")")))))</f>
        <v>vitesse initiale (bouche)</v>
      </c>
      <c r="R50" s="32" t="n">
        <f aca="false">IF(ISNUMBER(P50),IF(E50="arme à feu",IF($B$10=1,P50,"N/A"),P50),"N/A")</f>
        <v>1100</v>
      </c>
      <c r="S50" s="33" t="n">
        <f aca="false">IF(ISNUMBER(R50),ROUND(1+9*(SUMPRODUCT(ISNUMBER($R$21:$R$153)*($R$21:$R$153&lt;=R50))-1)/(COUNT($R$21:$R$153)-1),1),"N/A")</f>
        <v>7.1</v>
      </c>
      <c r="T50" s="34"/>
    </row>
    <row r="51" customFormat="false" ht="15" hidden="false" customHeight="false" outlineLevel="0" collapsed="false">
      <c r="A51" s="0" t="str">
        <f aca="false">B51&amp;"|"&amp;C51</f>
        <v>30mm Cannon|Jeu de base</v>
      </c>
      <c r="B51" s="0" t="s">
        <v>78</v>
      </c>
      <c r="C51" s="0" t="s">
        <v>36</v>
      </c>
      <c r="D51" s="0" t="s">
        <v>64</v>
      </c>
      <c r="E51" s="0" t="str">
        <f aca="false">IF(ISNUMBER(G51),"propulsé",IF(D51="Canon / mitrailleuse / lance-grenade","arme à feu","autre"))</f>
        <v>arme à feu</v>
      </c>
      <c r="F51" s="27" t="n">
        <v>0.85</v>
      </c>
      <c r="G51" s="28"/>
      <c r="H51" s="29"/>
      <c r="I51" s="27"/>
      <c r="J51" s="28" t="n">
        <v>1200</v>
      </c>
      <c r="K51" s="30"/>
      <c r="L51" s="30"/>
      <c r="M51" s="31" t="str">
        <f aca="false">IF(AND(ISNUMBER(G51),ISNUMBER(H51),ISNUMBER(I51),ISNUMBER(F51)),IF(AND(G51&gt;0,H51&gt;0,I51&gt;0,F51&gt;I51),G51*H51/I51*LN(F51/(F51-I51)),"N/A"),"N/A")</f>
        <v>N/A</v>
      </c>
      <c r="N51" s="0" t="str">
        <f aca="false">IF(ISNUMBER(M51),IF(AND(H51&gt;=$B$7,G51/(F51*$B$9)&lt;$B$8),"croisière","fusée"),"N/A")</f>
        <v>N/A</v>
      </c>
      <c r="O51" s="32" t="str">
        <f aca="false">IF(N51="fusée",MIN(M51,IF(C51="Jeu de base",$B$4,$B$5)),IF(N51="croisière",$B$6*SQRT(G51),"N/A"))</f>
        <v>N/A</v>
      </c>
      <c r="P51" s="32" t="n">
        <f aca="false">IF(E51="propulsé",IF(ISNUMBER(O51),IF(AND(ISNUMBER(K51),ISNUMBER(L51)),MEDIAN(K51,L51,O51),IF(ISNUMBER(L51),L51,IF(ISNUMBER(K51),K51,O51))),IF(ISNUMBER(K51),K51,"N/A")),IF(E51="arme à feu",IF(ISNUMBER(J51),IF(ISNUMBER(K51),MIN(J51,K51),J51),"N/A"),"N/A"))</f>
        <v>1200</v>
      </c>
      <c r="Q51" s="0" t="str">
        <f aca="false">IF(NOT(ISNUMBER(P51)),"aucune vitesse définie",IF(E51="arme à feu",IF(AND(ISNUMBER(K51),ISNUMBER(J51),K51&lt;J51),"vitesse max fixée (inférieure à la bouche)","vitesse initiale (bouche)"),IF(AND(ISNUMBER(K51),ISNUMBER(L51)),"médiane fichier / wiki / calcul",IF(ISNUMBER(L51),"wiki Delta-V",IF(ISNUMBER(K51),"vitesse fixée du fichier","calcul ("&amp;N51&amp;IF(AND(N51="fusée",M51&gt;O51),", plafonné","")&amp;")")))))</f>
        <v>vitesse initiale (bouche)</v>
      </c>
      <c r="R51" s="32" t="n">
        <f aca="false">IF(ISNUMBER(P51),IF(E51="arme à feu",IF($B$10=1,P51,"N/A"),P51),"N/A")</f>
        <v>1200</v>
      </c>
      <c r="S51" s="33" t="n">
        <f aca="false">IF(ISNUMBER(R51),ROUND(1+9*(SUMPRODUCT(ISNUMBER($R$21:$R$153)*($R$21:$R$153&lt;=R51))-1)/(COUNT($R$21:$R$153)-1),1),"N/A")</f>
        <v>7.9</v>
      </c>
      <c r="T51" s="34"/>
    </row>
    <row r="52" customFormat="false" ht="15" hidden="false" customHeight="false" outlineLevel="0" collapsed="false">
      <c r="A52" s="0" t="str">
        <f aca="false">B52&amp;"|"&amp;C52</f>
        <v>30mm Chaingun|Jeu de base</v>
      </c>
      <c r="B52" s="0" t="s">
        <v>79</v>
      </c>
      <c r="C52" s="0" t="s">
        <v>36</v>
      </c>
      <c r="D52" s="0" t="s">
        <v>64</v>
      </c>
      <c r="E52" s="0" t="str">
        <f aca="false">IF(ISNUMBER(G52),"propulsé",IF(D52="Canon / mitrailleuse / lance-grenade","arme à feu","autre"))</f>
        <v>arme à feu</v>
      </c>
      <c r="F52" s="27" t="n">
        <v>0.5</v>
      </c>
      <c r="G52" s="28"/>
      <c r="H52" s="29"/>
      <c r="I52" s="27"/>
      <c r="J52" s="28" t="n">
        <v>805</v>
      </c>
      <c r="K52" s="30"/>
      <c r="L52" s="30"/>
      <c r="M52" s="31" t="str">
        <f aca="false">IF(AND(ISNUMBER(G52),ISNUMBER(H52),ISNUMBER(I52),ISNUMBER(F52)),IF(AND(G52&gt;0,H52&gt;0,I52&gt;0,F52&gt;I52),G52*H52/I52*LN(F52/(F52-I52)),"N/A"),"N/A")</f>
        <v>N/A</v>
      </c>
      <c r="N52" s="0" t="str">
        <f aca="false">IF(ISNUMBER(M52),IF(AND(H52&gt;=$B$7,G52/(F52*$B$9)&lt;$B$8),"croisière","fusée"),"N/A")</f>
        <v>N/A</v>
      </c>
      <c r="O52" s="32" t="str">
        <f aca="false">IF(N52="fusée",MIN(M52,IF(C52="Jeu de base",$B$4,$B$5)),IF(N52="croisière",$B$6*SQRT(G52),"N/A"))</f>
        <v>N/A</v>
      </c>
      <c r="P52" s="32" t="n">
        <f aca="false">IF(E52="propulsé",IF(ISNUMBER(O52),IF(AND(ISNUMBER(K52),ISNUMBER(L52)),MEDIAN(K52,L52,O52),IF(ISNUMBER(L52),L52,IF(ISNUMBER(K52),K52,O52))),IF(ISNUMBER(K52),K52,"N/A")),IF(E52="arme à feu",IF(ISNUMBER(J52),IF(ISNUMBER(K52),MIN(J52,K52),J52),"N/A"),"N/A"))</f>
        <v>805</v>
      </c>
      <c r="Q52" s="0" t="str">
        <f aca="false">IF(NOT(ISNUMBER(P52)),"aucune vitesse définie",IF(E52="arme à feu",IF(AND(ISNUMBER(K52),ISNUMBER(J52),K52&lt;J52),"vitesse max fixée (inférieure à la bouche)","vitesse initiale (bouche)"),IF(AND(ISNUMBER(K52),ISNUMBER(L52)),"médiane fichier / wiki / calcul",IF(ISNUMBER(L52),"wiki Delta-V",IF(ISNUMBER(K52),"vitesse fixée du fichier","calcul ("&amp;N52&amp;IF(AND(N52="fusée",M52&gt;O52),", plafonné","")&amp;")")))))</f>
        <v>vitesse initiale (bouche)</v>
      </c>
      <c r="R52" s="32" t="n">
        <f aca="false">IF(ISNUMBER(P52),IF(E52="arme à feu",IF($B$10=1,P52,"N/A"),P52),"N/A")</f>
        <v>805</v>
      </c>
      <c r="S52" s="33" t="n">
        <f aca="false">IF(ISNUMBER(R52),ROUND(1+9*(SUMPRODUCT(ISNUMBER($R$21:$R$153)*($R$21:$R$153&lt;=R52))-1)/(COUNT($R$21:$R$153)-1),1),"N/A")</f>
        <v>3.7</v>
      </c>
      <c r="T52" s="34"/>
    </row>
    <row r="53" customFormat="false" ht="15" hidden="false" customHeight="false" outlineLevel="0" collapsed="false">
      <c r="A53" s="0" t="str">
        <f aca="false">B53&amp;"|"&amp;C53</f>
        <v>30mm Rotary Cannon (variante 1)|Jeu de base</v>
      </c>
      <c r="B53" s="0" t="s">
        <v>80</v>
      </c>
      <c r="C53" s="0" t="s">
        <v>36</v>
      </c>
      <c r="D53" s="0" t="s">
        <v>64</v>
      </c>
      <c r="E53" s="0" t="str">
        <f aca="false">IF(ISNUMBER(G53),"propulsé",IF(D53="Canon / mitrailleuse / lance-grenade","arme à feu","autre"))</f>
        <v>arme à feu</v>
      </c>
      <c r="F53" s="27" t="n">
        <v>0.85</v>
      </c>
      <c r="G53" s="28"/>
      <c r="H53" s="29"/>
      <c r="I53" s="27"/>
      <c r="J53" s="28" t="n">
        <v>1100</v>
      </c>
      <c r="K53" s="30"/>
      <c r="L53" s="30"/>
      <c r="M53" s="31" t="str">
        <f aca="false">IF(AND(ISNUMBER(G53),ISNUMBER(H53),ISNUMBER(I53),ISNUMBER(F53)),IF(AND(G53&gt;0,H53&gt;0,I53&gt;0,F53&gt;I53),G53*H53/I53*LN(F53/(F53-I53)),"N/A"),"N/A")</f>
        <v>N/A</v>
      </c>
      <c r="N53" s="0" t="str">
        <f aca="false">IF(ISNUMBER(M53),IF(AND(H53&gt;=$B$7,G53/(F53*$B$9)&lt;$B$8),"croisière","fusée"),"N/A")</f>
        <v>N/A</v>
      </c>
      <c r="O53" s="32" t="str">
        <f aca="false">IF(N53="fusée",MIN(M53,IF(C53="Jeu de base",$B$4,$B$5)),IF(N53="croisière",$B$6*SQRT(G53),"N/A"))</f>
        <v>N/A</v>
      </c>
      <c r="P53" s="32" t="n">
        <f aca="false">IF(E53="propulsé",IF(ISNUMBER(O53),IF(AND(ISNUMBER(K53),ISNUMBER(L53)),MEDIAN(K53,L53,O53),IF(ISNUMBER(L53),L53,IF(ISNUMBER(K53),K53,O53))),IF(ISNUMBER(K53),K53,"N/A")),IF(E53="arme à feu",IF(ISNUMBER(J53),IF(ISNUMBER(K53),MIN(J53,K53),J53),"N/A"),"N/A"))</f>
        <v>1100</v>
      </c>
      <c r="Q53" s="0" t="str">
        <f aca="false">IF(NOT(ISNUMBER(P53)),"aucune vitesse définie",IF(E53="arme à feu",IF(AND(ISNUMBER(K53),ISNUMBER(J53),K53&lt;J53),"vitesse max fixée (inférieure à la bouche)","vitesse initiale (bouche)"),IF(AND(ISNUMBER(K53),ISNUMBER(L53)),"médiane fichier / wiki / calcul",IF(ISNUMBER(L53),"wiki Delta-V",IF(ISNUMBER(K53),"vitesse fixée du fichier","calcul ("&amp;N53&amp;IF(AND(N53="fusée",M53&gt;O53),", plafonné","")&amp;")")))))</f>
        <v>vitesse initiale (bouche)</v>
      </c>
      <c r="R53" s="32" t="n">
        <f aca="false">IF(ISNUMBER(P53),IF(E53="arme à feu",IF($B$10=1,P53,"N/A"),P53),"N/A")</f>
        <v>1100</v>
      </c>
      <c r="S53" s="33" t="n">
        <f aca="false">IF(ISNUMBER(R53),ROUND(1+9*(SUMPRODUCT(ISNUMBER($R$21:$R$153)*($R$21:$R$153&lt;=R53))-1)/(COUNT($R$21:$R$153)-1),1),"N/A")</f>
        <v>7.1</v>
      </c>
      <c r="T53" s="34"/>
    </row>
    <row r="54" customFormat="false" ht="15" hidden="false" customHeight="false" outlineLevel="0" collapsed="false">
      <c r="A54" s="0" t="str">
        <f aca="false">B54&amp;"|"&amp;C54</f>
        <v>30mm Rotary Cannon (variante 2)|Jeu de base</v>
      </c>
      <c r="B54" s="0" t="s">
        <v>81</v>
      </c>
      <c r="C54" s="0" t="s">
        <v>36</v>
      </c>
      <c r="D54" s="0" t="s">
        <v>64</v>
      </c>
      <c r="E54" s="0" t="str">
        <f aca="false">IF(ISNUMBER(G54),"propulsé",IF(D54="Canon / mitrailleuse / lance-grenade","arme à feu","autre"))</f>
        <v>arme à feu</v>
      </c>
      <c r="F54" s="27" t="n">
        <v>0.5</v>
      </c>
      <c r="G54" s="28"/>
      <c r="H54" s="29"/>
      <c r="I54" s="27"/>
      <c r="J54" s="28" t="n">
        <v>825</v>
      </c>
      <c r="K54" s="30" t="n">
        <v>825</v>
      </c>
      <c r="L54" s="30"/>
      <c r="M54" s="31" t="str">
        <f aca="false">IF(AND(ISNUMBER(G54),ISNUMBER(H54),ISNUMBER(I54),ISNUMBER(F54)),IF(AND(G54&gt;0,H54&gt;0,I54&gt;0,F54&gt;I54),G54*H54/I54*LN(F54/(F54-I54)),"N/A"),"N/A")</f>
        <v>N/A</v>
      </c>
      <c r="N54" s="0" t="str">
        <f aca="false">IF(ISNUMBER(M54),IF(AND(H54&gt;=$B$7,G54/(F54*$B$9)&lt;$B$8),"croisière","fusée"),"N/A")</f>
        <v>N/A</v>
      </c>
      <c r="O54" s="32" t="str">
        <f aca="false">IF(N54="fusée",MIN(M54,IF(C54="Jeu de base",$B$4,$B$5)),IF(N54="croisière",$B$6*SQRT(G54),"N/A"))</f>
        <v>N/A</v>
      </c>
      <c r="P54" s="32" t="n">
        <f aca="false">IF(E54="propulsé",IF(ISNUMBER(O54),IF(AND(ISNUMBER(K54),ISNUMBER(L54)),MEDIAN(K54,L54,O54),IF(ISNUMBER(L54),L54,IF(ISNUMBER(K54),K54,O54))),IF(ISNUMBER(K54),K54,"N/A")),IF(E54="arme à feu",IF(ISNUMBER(J54),IF(ISNUMBER(K54),MIN(J54,K54),J54),"N/A"),"N/A"))</f>
        <v>825</v>
      </c>
      <c r="Q54" s="0" t="str">
        <f aca="false">IF(NOT(ISNUMBER(P54)),"aucune vitesse définie",IF(E54="arme à feu",IF(AND(ISNUMBER(K54),ISNUMBER(J54),K54&lt;J54),"vitesse max fixée (inférieure à la bouche)","vitesse initiale (bouche)"),IF(AND(ISNUMBER(K54),ISNUMBER(L54)),"médiane fichier / wiki / calcul",IF(ISNUMBER(L54),"wiki Delta-V",IF(ISNUMBER(K54),"vitesse fixée du fichier","calcul ("&amp;N54&amp;IF(AND(N54="fusée",M54&gt;O54),", plafonné","")&amp;")")))))</f>
        <v>vitesse initiale (bouche)</v>
      </c>
      <c r="R54" s="32" t="n">
        <f aca="false">IF(ISNUMBER(P54),IF(E54="arme à feu",IF($B$10=1,P54,"N/A"),P54),"N/A")</f>
        <v>825</v>
      </c>
      <c r="S54" s="33" t="n">
        <f aca="false">IF(ISNUMBER(R54),ROUND(1+9*(SUMPRODUCT(ISNUMBER($R$21:$R$153)*($R$21:$R$153&lt;=R54))-1)/(COUNT($R$21:$R$153)-1),1),"N/A")</f>
        <v>4</v>
      </c>
      <c r="T54" s="34"/>
    </row>
    <row r="55" customFormat="false" ht="15" hidden="false" customHeight="false" outlineLevel="0" collapsed="false">
      <c r="A55" s="0" t="str">
        <f aca="false">B55&amp;"|"&amp;C55</f>
        <v>35mm Autocannon|Jeu de base</v>
      </c>
      <c r="B55" s="0" t="s">
        <v>82</v>
      </c>
      <c r="C55" s="0" t="s">
        <v>36</v>
      </c>
      <c r="D55" s="0" t="s">
        <v>64</v>
      </c>
      <c r="E55" s="0" t="str">
        <f aca="false">IF(ISNUMBER(G55),"propulsé",IF(D55="Canon / mitrailleuse / lance-grenade","arme à feu","autre"))</f>
        <v>arme à feu</v>
      </c>
      <c r="F55" s="27" t="n">
        <v>1.4</v>
      </c>
      <c r="G55" s="28"/>
      <c r="H55" s="29"/>
      <c r="I55" s="27"/>
      <c r="J55" s="28" t="n">
        <v>1175</v>
      </c>
      <c r="K55" s="30"/>
      <c r="L55" s="30"/>
      <c r="M55" s="31" t="str">
        <f aca="false">IF(AND(ISNUMBER(G55),ISNUMBER(H55),ISNUMBER(I55),ISNUMBER(F55)),IF(AND(G55&gt;0,H55&gt;0,I55&gt;0,F55&gt;I55),G55*H55/I55*LN(F55/(F55-I55)),"N/A"),"N/A")</f>
        <v>N/A</v>
      </c>
      <c r="N55" s="0" t="str">
        <f aca="false">IF(ISNUMBER(M55),IF(AND(H55&gt;=$B$7,G55/(F55*$B$9)&lt;$B$8),"croisière","fusée"),"N/A")</f>
        <v>N/A</v>
      </c>
      <c r="O55" s="32" t="str">
        <f aca="false">IF(N55="fusée",MIN(M55,IF(C55="Jeu de base",$B$4,$B$5)),IF(N55="croisière",$B$6*SQRT(G55),"N/A"))</f>
        <v>N/A</v>
      </c>
      <c r="P55" s="32" t="n">
        <f aca="false">IF(E55="propulsé",IF(ISNUMBER(O55),IF(AND(ISNUMBER(K55),ISNUMBER(L55)),MEDIAN(K55,L55,O55),IF(ISNUMBER(L55),L55,IF(ISNUMBER(K55),K55,O55))),IF(ISNUMBER(K55),K55,"N/A")),IF(E55="arme à feu",IF(ISNUMBER(J55),IF(ISNUMBER(K55),MIN(J55,K55),J55),"N/A"),"N/A"))</f>
        <v>1175</v>
      </c>
      <c r="Q55" s="0" t="str">
        <f aca="false">IF(NOT(ISNUMBER(P55)),"aucune vitesse définie",IF(E55="arme à feu",IF(AND(ISNUMBER(K55),ISNUMBER(J55),K55&lt;J55),"vitesse max fixée (inférieure à la bouche)","vitesse initiale (bouche)"),IF(AND(ISNUMBER(K55),ISNUMBER(L55)),"médiane fichier / wiki / calcul",IF(ISNUMBER(L55),"wiki Delta-V",IF(ISNUMBER(K55),"vitesse fixée du fichier","calcul ("&amp;N55&amp;IF(AND(N55="fusée",M55&gt;O55),", plafonné","")&amp;")")))))</f>
        <v>vitesse initiale (bouche)</v>
      </c>
      <c r="R55" s="32" t="n">
        <f aca="false">IF(ISNUMBER(P55),IF(E55="arme à feu",IF($B$10=1,P55,"N/A"),P55),"N/A")</f>
        <v>1175</v>
      </c>
      <c r="S55" s="33" t="n">
        <f aca="false">IF(ISNUMBER(R55),ROUND(1+9*(SUMPRODUCT(ISNUMBER($R$21:$R$153)*($R$21:$R$153&lt;=R55))-1)/(COUNT($R$21:$R$153)-1),1),"N/A")</f>
        <v>7.7</v>
      </c>
      <c r="T55" s="34"/>
    </row>
    <row r="56" customFormat="false" ht="15" hidden="false" customHeight="false" outlineLevel="0" collapsed="false">
      <c r="A56" s="0" t="str">
        <f aca="false">B56&amp;"|"&amp;C56</f>
        <v>40mm Cannon|Jeu de base</v>
      </c>
      <c r="B56" s="0" t="s">
        <v>83</v>
      </c>
      <c r="C56" s="0" t="s">
        <v>36</v>
      </c>
      <c r="D56" s="0" t="s">
        <v>64</v>
      </c>
      <c r="E56" s="0" t="str">
        <f aca="false">IF(ISNUMBER(G56),"propulsé",IF(D56="Canon / mitrailleuse / lance-grenade","arme à feu","autre"))</f>
        <v>arme à feu</v>
      </c>
      <c r="F56" s="27" t="n">
        <v>0.9</v>
      </c>
      <c r="G56" s="28"/>
      <c r="H56" s="29"/>
      <c r="I56" s="27"/>
      <c r="J56" s="28" t="n">
        <v>1100</v>
      </c>
      <c r="K56" s="30"/>
      <c r="L56" s="30"/>
      <c r="M56" s="31" t="str">
        <f aca="false">IF(AND(ISNUMBER(G56),ISNUMBER(H56),ISNUMBER(I56),ISNUMBER(F56)),IF(AND(G56&gt;0,H56&gt;0,I56&gt;0,F56&gt;I56),G56*H56/I56*LN(F56/(F56-I56)),"N/A"),"N/A")</f>
        <v>N/A</v>
      </c>
      <c r="N56" s="0" t="str">
        <f aca="false">IF(ISNUMBER(M56),IF(AND(H56&gt;=$B$7,G56/(F56*$B$9)&lt;$B$8),"croisière","fusée"),"N/A")</f>
        <v>N/A</v>
      </c>
      <c r="O56" s="32" t="str">
        <f aca="false">IF(N56="fusée",MIN(M56,IF(C56="Jeu de base",$B$4,$B$5)),IF(N56="croisière",$B$6*SQRT(G56),"N/A"))</f>
        <v>N/A</v>
      </c>
      <c r="P56" s="32" t="n">
        <f aca="false">IF(E56="propulsé",IF(ISNUMBER(O56),IF(AND(ISNUMBER(K56),ISNUMBER(L56)),MEDIAN(K56,L56,O56),IF(ISNUMBER(L56),L56,IF(ISNUMBER(K56),K56,O56))),IF(ISNUMBER(K56),K56,"N/A")),IF(E56="arme à feu",IF(ISNUMBER(J56),IF(ISNUMBER(K56),MIN(J56,K56),J56),"N/A"),"N/A"))</f>
        <v>1100</v>
      </c>
      <c r="Q56" s="0" t="str">
        <f aca="false">IF(NOT(ISNUMBER(P56)),"aucune vitesse définie",IF(E56="arme à feu",IF(AND(ISNUMBER(K56),ISNUMBER(J56),K56&lt;J56),"vitesse max fixée (inférieure à la bouche)","vitesse initiale (bouche)"),IF(AND(ISNUMBER(K56),ISNUMBER(L56)),"médiane fichier / wiki / calcul",IF(ISNUMBER(L56),"wiki Delta-V",IF(ISNUMBER(K56),"vitesse fixée du fichier","calcul ("&amp;N56&amp;IF(AND(N56="fusée",M56&gt;O56),", plafonné","")&amp;")")))))</f>
        <v>vitesse initiale (bouche)</v>
      </c>
      <c r="R56" s="32" t="n">
        <f aca="false">IF(ISNUMBER(P56),IF(E56="arme à feu",IF($B$10=1,P56,"N/A"),P56),"N/A")</f>
        <v>1100</v>
      </c>
      <c r="S56" s="33" t="n">
        <f aca="false">IF(ISNUMBER(R56),ROUND(1+9*(SUMPRODUCT(ISNUMBER($R$21:$R$153)*($R$21:$R$153&lt;=R56))-1)/(COUNT($R$21:$R$153)-1),1),"N/A")</f>
        <v>7.1</v>
      </c>
      <c r="T56" s="34"/>
    </row>
    <row r="57" customFormat="false" ht="15" hidden="false" customHeight="false" outlineLevel="0" collapsed="false">
      <c r="A57" s="0" t="str">
        <f aca="false">B57&amp;"|"&amp;C57</f>
        <v>40mm GMG|Jeu de base</v>
      </c>
      <c r="B57" s="0" t="s">
        <v>84</v>
      </c>
      <c r="C57" s="0" t="s">
        <v>36</v>
      </c>
      <c r="D57" s="0" t="s">
        <v>64</v>
      </c>
      <c r="E57" s="0" t="str">
        <f aca="false">IF(ISNUMBER(G57),"propulsé",IF(D57="Canon / mitrailleuse / lance-grenade","arme à feu","autre"))</f>
        <v>arme à feu</v>
      </c>
      <c r="F57" s="27" t="n">
        <v>0.4</v>
      </c>
      <c r="G57" s="28"/>
      <c r="H57" s="29"/>
      <c r="I57" s="27"/>
      <c r="J57" s="28" t="n">
        <v>240</v>
      </c>
      <c r="K57" s="30"/>
      <c r="L57" s="30"/>
      <c r="M57" s="31" t="str">
        <f aca="false">IF(AND(ISNUMBER(G57),ISNUMBER(H57),ISNUMBER(I57),ISNUMBER(F57)),IF(AND(G57&gt;0,H57&gt;0,I57&gt;0,F57&gt;I57),G57*H57/I57*LN(F57/(F57-I57)),"N/A"),"N/A")</f>
        <v>N/A</v>
      </c>
      <c r="N57" s="0" t="str">
        <f aca="false">IF(ISNUMBER(M57),IF(AND(H57&gt;=$B$7,G57/(F57*$B$9)&lt;$B$8),"croisière","fusée"),"N/A")</f>
        <v>N/A</v>
      </c>
      <c r="O57" s="32" t="str">
        <f aca="false">IF(N57="fusée",MIN(M57,IF(C57="Jeu de base",$B$4,$B$5)),IF(N57="croisière",$B$6*SQRT(G57),"N/A"))</f>
        <v>N/A</v>
      </c>
      <c r="P57" s="32" t="n">
        <f aca="false">IF(E57="propulsé",IF(ISNUMBER(O57),IF(AND(ISNUMBER(K57),ISNUMBER(L57)),MEDIAN(K57,L57,O57),IF(ISNUMBER(L57),L57,IF(ISNUMBER(K57),K57,O57))),IF(ISNUMBER(K57),K57,"N/A")),IF(E57="arme à feu",IF(ISNUMBER(J57),IF(ISNUMBER(K57),MIN(J57,K57),J57),"N/A"),"N/A"))</f>
        <v>240</v>
      </c>
      <c r="Q57" s="0" t="str">
        <f aca="false">IF(NOT(ISNUMBER(P57)),"aucune vitesse définie",IF(E57="arme à feu",IF(AND(ISNUMBER(K57),ISNUMBER(J57),K57&lt;J57),"vitesse max fixée (inférieure à la bouche)","vitesse initiale (bouche)"),IF(AND(ISNUMBER(K57),ISNUMBER(L57)),"médiane fichier / wiki / calcul",IF(ISNUMBER(L57),"wiki Delta-V",IF(ISNUMBER(K57),"vitesse fixée du fichier","calcul ("&amp;N57&amp;IF(AND(N57="fusée",M57&gt;O57),", plafonné","")&amp;")")))))</f>
        <v>vitesse initiale (bouche)</v>
      </c>
      <c r="R57" s="32" t="n">
        <f aca="false">IF(ISNUMBER(P57),IF(E57="arme à feu",IF($B$10=1,P57,"N/A"),P57),"N/A")</f>
        <v>240</v>
      </c>
      <c r="S57" s="33" t="n">
        <f aca="false">IF(ISNUMBER(R57),ROUND(1+9*(SUMPRODUCT(ISNUMBER($R$21:$R$153)*($R$21:$R$153&lt;=R57))-1)/(COUNT($R$21:$R$153)-1),1),"N/A")</f>
        <v>1.3</v>
      </c>
      <c r="T57" s="34"/>
    </row>
    <row r="58" customFormat="false" ht="15" hidden="false" customHeight="false" outlineLevel="0" collapsed="false">
      <c r="A58" s="0" t="str">
        <f aca="false">B58&amp;"|"&amp;C58</f>
        <v>40mm Grenade|Jeu de base</v>
      </c>
      <c r="B58" s="0" t="s">
        <v>85</v>
      </c>
      <c r="C58" s="0" t="s">
        <v>36</v>
      </c>
      <c r="D58" s="0" t="s">
        <v>64</v>
      </c>
      <c r="E58" s="0" t="str">
        <f aca="false">IF(ISNUMBER(G58),"propulsé",IF(D58="Canon / mitrailleuse / lance-grenade","arme à feu","autre"))</f>
        <v>arme à feu</v>
      </c>
      <c r="F58" s="27" t="n">
        <v>0.4</v>
      </c>
      <c r="G58" s="28"/>
      <c r="H58" s="29"/>
      <c r="I58" s="27"/>
      <c r="J58" s="28" t="n">
        <v>110</v>
      </c>
      <c r="K58" s="30" t="n">
        <v>110</v>
      </c>
      <c r="L58" s="30"/>
      <c r="M58" s="31" t="str">
        <f aca="false">IF(AND(ISNUMBER(G58),ISNUMBER(H58),ISNUMBER(I58),ISNUMBER(F58)),IF(AND(G58&gt;0,H58&gt;0,I58&gt;0,F58&gt;I58),G58*H58/I58*LN(F58/(F58-I58)),"N/A"),"N/A")</f>
        <v>N/A</v>
      </c>
      <c r="N58" s="0" t="str">
        <f aca="false">IF(ISNUMBER(M58),IF(AND(H58&gt;=$B$7,G58/(F58*$B$9)&lt;$B$8),"croisière","fusée"),"N/A")</f>
        <v>N/A</v>
      </c>
      <c r="O58" s="32" t="str">
        <f aca="false">IF(N58="fusée",MIN(M58,IF(C58="Jeu de base",$B$4,$B$5)),IF(N58="croisière",$B$6*SQRT(G58),"N/A"))</f>
        <v>N/A</v>
      </c>
      <c r="P58" s="32" t="n">
        <f aca="false">IF(E58="propulsé",IF(ISNUMBER(O58),IF(AND(ISNUMBER(K58),ISNUMBER(L58)),MEDIAN(K58,L58,O58),IF(ISNUMBER(L58),L58,IF(ISNUMBER(K58),K58,O58))),IF(ISNUMBER(K58),K58,"N/A")),IF(E58="arme à feu",IF(ISNUMBER(J58),IF(ISNUMBER(K58),MIN(J58,K58),J58),"N/A"),"N/A"))</f>
        <v>110</v>
      </c>
      <c r="Q58" s="0" t="str">
        <f aca="false">IF(NOT(ISNUMBER(P58)),"aucune vitesse définie",IF(E58="arme à feu",IF(AND(ISNUMBER(K58),ISNUMBER(J58),K58&lt;J58),"vitesse max fixée (inférieure à la bouche)","vitesse initiale (bouche)"),IF(AND(ISNUMBER(K58),ISNUMBER(L58)),"médiane fichier / wiki / calcul",IF(ISNUMBER(L58),"wiki Delta-V",IF(ISNUMBER(K58),"vitesse fixée du fichier","calcul ("&amp;N58&amp;IF(AND(N58="fusée",M58&gt;O58),", plafonné","")&amp;")")))))</f>
        <v>vitesse initiale (bouche)</v>
      </c>
      <c r="R58" s="32" t="n">
        <f aca="false">IF(ISNUMBER(P58),IF(E58="arme à feu",IF($B$10=1,P58,"N/A"),P58),"N/A")</f>
        <v>110</v>
      </c>
      <c r="S58" s="33" t="n">
        <f aca="false">IF(ISNUMBER(R58),ROUND(1+9*(SUMPRODUCT(ISNUMBER($R$21:$R$153)*($R$21:$R$153&lt;=R58))-1)/(COUNT($R$21:$R$153)-1),1),"N/A")</f>
        <v>1.1</v>
      </c>
      <c r="T58" s="34"/>
    </row>
    <row r="59" customFormat="false" ht="15" hidden="false" customHeight="false" outlineLevel="0" collapsed="false">
      <c r="A59" s="0" t="str">
        <f aca="false">B59&amp;"|"&amp;C59</f>
        <v>57mm Cannon (variante 1)|Jeu de base</v>
      </c>
      <c r="B59" s="0" t="s">
        <v>86</v>
      </c>
      <c r="C59" s="0" t="s">
        <v>36</v>
      </c>
      <c r="D59" s="0" t="s">
        <v>64</v>
      </c>
      <c r="E59" s="0" t="str">
        <f aca="false">IF(ISNUMBER(G59),"propulsé",IF(D59="Canon / mitrailleuse / lance-grenade","arme à feu","autre"))</f>
        <v>arme à feu</v>
      </c>
      <c r="F59" s="27" t="n">
        <v>6</v>
      </c>
      <c r="G59" s="28"/>
      <c r="H59" s="29"/>
      <c r="I59" s="27"/>
      <c r="J59" s="28" t="n">
        <v>1000</v>
      </c>
      <c r="K59" s="30"/>
      <c r="L59" s="30"/>
      <c r="M59" s="31" t="str">
        <f aca="false">IF(AND(ISNUMBER(G59),ISNUMBER(H59),ISNUMBER(I59),ISNUMBER(F59)),IF(AND(G59&gt;0,H59&gt;0,I59&gt;0,F59&gt;I59),G59*H59/I59*LN(F59/(F59-I59)),"N/A"),"N/A")</f>
        <v>N/A</v>
      </c>
      <c r="N59" s="0" t="str">
        <f aca="false">IF(ISNUMBER(M59),IF(AND(H59&gt;=$B$7,G59/(F59*$B$9)&lt;$B$8),"croisière","fusée"),"N/A")</f>
        <v>N/A</v>
      </c>
      <c r="O59" s="32" t="str">
        <f aca="false">IF(N59="fusée",MIN(M59,IF(C59="Jeu de base",$B$4,$B$5)),IF(N59="croisière",$B$6*SQRT(G59),"N/A"))</f>
        <v>N/A</v>
      </c>
      <c r="P59" s="32" t="n">
        <f aca="false">IF(E59="propulsé",IF(ISNUMBER(O59),IF(AND(ISNUMBER(K59),ISNUMBER(L59)),MEDIAN(K59,L59,O59),IF(ISNUMBER(L59),L59,IF(ISNUMBER(K59),K59,O59))),IF(ISNUMBER(K59),K59,"N/A")),IF(E59="arme à feu",IF(ISNUMBER(J59),IF(ISNUMBER(K59),MIN(J59,K59),J59),"N/A"),"N/A"))</f>
        <v>1000</v>
      </c>
      <c r="Q59" s="0" t="str">
        <f aca="false">IF(NOT(ISNUMBER(P59)),"aucune vitesse définie",IF(E59="arme à feu",IF(AND(ISNUMBER(K59),ISNUMBER(J59),K59&lt;J59),"vitesse max fixée (inférieure à la bouche)","vitesse initiale (bouche)"),IF(AND(ISNUMBER(K59),ISNUMBER(L59)),"médiane fichier / wiki / calcul",IF(ISNUMBER(L59),"wiki Delta-V",IF(ISNUMBER(K59),"vitesse fixée du fichier","calcul ("&amp;N59&amp;IF(AND(N59="fusée",M59&gt;O59),", plafonné","")&amp;")")))))</f>
        <v>vitesse initiale (bouche)</v>
      </c>
      <c r="R59" s="32" t="n">
        <f aca="false">IF(ISNUMBER(P59),IF(E59="arme à feu",IF($B$10=1,P59,"N/A"),P59),"N/A")</f>
        <v>1000</v>
      </c>
      <c r="S59" s="33" t="n">
        <f aca="false">IF(ISNUMBER(R59),ROUND(1+9*(SUMPRODUCT(ISNUMBER($R$21:$R$153)*($R$21:$R$153&lt;=R59))-1)/(COUNT($R$21:$R$153)-1),1),"N/A")</f>
        <v>5.4</v>
      </c>
      <c r="T59" s="34"/>
    </row>
    <row r="60" customFormat="false" ht="15" hidden="false" customHeight="false" outlineLevel="0" collapsed="false">
      <c r="A60" s="0" t="str">
        <f aca="false">B60&amp;"|"&amp;C60</f>
        <v>57mm Cannon (variante 2)|Jeu de base</v>
      </c>
      <c r="B60" s="0" t="s">
        <v>87</v>
      </c>
      <c r="C60" s="0" t="s">
        <v>36</v>
      </c>
      <c r="D60" s="0" t="s">
        <v>64</v>
      </c>
      <c r="E60" s="0" t="str">
        <f aca="false">IF(ISNUMBER(G60),"propulsé",IF(D60="Canon / mitrailleuse / lance-grenade","arme à feu","autre"))</f>
        <v>arme à feu</v>
      </c>
      <c r="F60" s="27" t="n">
        <v>6</v>
      </c>
      <c r="G60" s="28"/>
      <c r="H60" s="29"/>
      <c r="I60" s="27"/>
      <c r="J60" s="28" t="n">
        <v>1100</v>
      </c>
      <c r="K60" s="30" t="n">
        <v>1100</v>
      </c>
      <c r="L60" s="30"/>
      <c r="M60" s="31" t="str">
        <f aca="false">IF(AND(ISNUMBER(G60),ISNUMBER(H60),ISNUMBER(I60),ISNUMBER(F60)),IF(AND(G60&gt;0,H60&gt;0,I60&gt;0,F60&gt;I60),G60*H60/I60*LN(F60/(F60-I60)),"N/A"),"N/A")</f>
        <v>N/A</v>
      </c>
      <c r="N60" s="0" t="str">
        <f aca="false">IF(ISNUMBER(M60),IF(AND(H60&gt;=$B$7,G60/(F60*$B$9)&lt;$B$8),"croisière","fusée"),"N/A")</f>
        <v>N/A</v>
      </c>
      <c r="O60" s="32" t="str">
        <f aca="false">IF(N60="fusée",MIN(M60,IF(C60="Jeu de base",$B$4,$B$5)),IF(N60="croisière",$B$6*SQRT(G60),"N/A"))</f>
        <v>N/A</v>
      </c>
      <c r="P60" s="32" t="n">
        <f aca="false">IF(E60="propulsé",IF(ISNUMBER(O60),IF(AND(ISNUMBER(K60),ISNUMBER(L60)),MEDIAN(K60,L60,O60),IF(ISNUMBER(L60),L60,IF(ISNUMBER(K60),K60,O60))),IF(ISNUMBER(K60),K60,"N/A")),IF(E60="arme à feu",IF(ISNUMBER(J60),IF(ISNUMBER(K60),MIN(J60,K60),J60),"N/A"),"N/A"))</f>
        <v>1100</v>
      </c>
      <c r="Q60" s="0" t="str">
        <f aca="false">IF(NOT(ISNUMBER(P60)),"aucune vitesse définie",IF(E60="arme à feu",IF(AND(ISNUMBER(K60),ISNUMBER(J60),K60&lt;J60),"vitesse max fixée (inférieure à la bouche)","vitesse initiale (bouche)"),IF(AND(ISNUMBER(K60),ISNUMBER(L60)),"médiane fichier / wiki / calcul",IF(ISNUMBER(L60),"wiki Delta-V",IF(ISNUMBER(K60),"vitesse fixée du fichier","calcul ("&amp;N60&amp;IF(AND(N60="fusée",M60&gt;O60),", plafonné","")&amp;")")))))</f>
        <v>vitesse initiale (bouche)</v>
      </c>
      <c r="R60" s="32" t="n">
        <f aca="false">IF(ISNUMBER(P60),IF(E60="arme à feu",IF($B$10=1,P60,"N/A"),P60),"N/A")</f>
        <v>1100</v>
      </c>
      <c r="S60" s="33" t="n">
        <f aca="false">IF(ISNUMBER(R60),ROUND(1+9*(SUMPRODUCT(ISNUMBER($R$21:$R$153)*($R$21:$R$153&lt;=R60))-1)/(COUNT($R$21:$R$153)-1),1),"N/A")</f>
        <v>7.1</v>
      </c>
      <c r="T60" s="34"/>
    </row>
    <row r="61" customFormat="false" ht="15" hidden="false" customHeight="false" outlineLevel="0" collapsed="false">
      <c r="A61" s="0" t="str">
        <f aca="false">B61&amp;"|"&amp;C61</f>
        <v>57mm Cannon (variante 3)|Jeu de base</v>
      </c>
      <c r="B61" s="0" t="s">
        <v>88</v>
      </c>
      <c r="C61" s="0" t="s">
        <v>36</v>
      </c>
      <c r="D61" s="0" t="s">
        <v>64</v>
      </c>
      <c r="E61" s="0" t="str">
        <f aca="false">IF(ISNUMBER(G61),"propulsé",IF(D61="Canon / mitrailleuse / lance-grenade","arme à feu","autre"))</f>
        <v>arme à feu</v>
      </c>
      <c r="F61" s="27" t="n">
        <v>6</v>
      </c>
      <c r="G61" s="28"/>
      <c r="H61" s="29"/>
      <c r="I61" s="27"/>
      <c r="J61" s="28" t="n">
        <v>1100</v>
      </c>
      <c r="K61" s="30"/>
      <c r="L61" s="30"/>
      <c r="M61" s="31" t="str">
        <f aca="false">IF(AND(ISNUMBER(G61),ISNUMBER(H61),ISNUMBER(I61),ISNUMBER(F61)),IF(AND(G61&gt;0,H61&gt;0,I61&gt;0,F61&gt;I61),G61*H61/I61*LN(F61/(F61-I61)),"N/A"),"N/A")</f>
        <v>N/A</v>
      </c>
      <c r="N61" s="0" t="str">
        <f aca="false">IF(ISNUMBER(M61),IF(AND(H61&gt;=$B$7,G61/(F61*$B$9)&lt;$B$8),"croisière","fusée"),"N/A")</f>
        <v>N/A</v>
      </c>
      <c r="O61" s="32" t="str">
        <f aca="false">IF(N61="fusée",MIN(M61,IF(C61="Jeu de base",$B$4,$B$5)),IF(N61="croisière",$B$6*SQRT(G61),"N/A"))</f>
        <v>N/A</v>
      </c>
      <c r="P61" s="32" t="n">
        <f aca="false">IF(E61="propulsé",IF(ISNUMBER(O61),IF(AND(ISNUMBER(K61),ISNUMBER(L61)),MEDIAN(K61,L61,O61),IF(ISNUMBER(L61),L61,IF(ISNUMBER(K61),K61,O61))),IF(ISNUMBER(K61),K61,"N/A")),IF(E61="arme à feu",IF(ISNUMBER(J61),IF(ISNUMBER(K61),MIN(J61,K61),J61),"N/A"),"N/A"))</f>
        <v>1100</v>
      </c>
      <c r="Q61" s="0" t="str">
        <f aca="false">IF(NOT(ISNUMBER(P61)),"aucune vitesse définie",IF(E61="arme à feu",IF(AND(ISNUMBER(K61),ISNUMBER(J61),K61&lt;J61),"vitesse max fixée (inférieure à la bouche)","vitesse initiale (bouche)"),IF(AND(ISNUMBER(K61),ISNUMBER(L61)),"médiane fichier / wiki / calcul",IF(ISNUMBER(L61),"wiki Delta-V",IF(ISNUMBER(K61),"vitesse fixée du fichier","calcul ("&amp;N61&amp;IF(AND(N61="fusée",M61&gt;O61),", plafonné","")&amp;")")))))</f>
        <v>vitesse initiale (bouche)</v>
      </c>
      <c r="R61" s="32" t="n">
        <f aca="false">IF(ISNUMBER(P61),IF(E61="arme à feu",IF($B$10=1,P61,"N/A"),P61),"N/A")</f>
        <v>1100</v>
      </c>
      <c r="S61" s="33" t="n">
        <f aca="false">IF(ISNUMBER(R61),ROUND(1+9*(SUMPRODUCT(ISNUMBER($R$21:$R$153)*($R$21:$R$153&lt;=R61))-1)/(COUNT($R$21:$R$153)-1),1),"N/A")</f>
        <v>7.1</v>
      </c>
      <c r="T61" s="34"/>
    </row>
    <row r="62" customFormat="false" ht="15" hidden="false" customHeight="false" outlineLevel="0" collapsed="false">
      <c r="A62" s="0" t="str">
        <f aca="false">B62&amp;"|"&amp;C62</f>
        <v>57mm Cannon (variante 4)|Jeu de base</v>
      </c>
      <c r="B62" s="0" t="s">
        <v>89</v>
      </c>
      <c r="C62" s="0" t="s">
        <v>36</v>
      </c>
      <c r="D62" s="0" t="s">
        <v>64</v>
      </c>
      <c r="E62" s="0" t="str">
        <f aca="false">IF(ISNUMBER(G62),"propulsé",IF(D62="Canon / mitrailleuse / lance-grenade","arme à feu","autre"))</f>
        <v>arme à feu</v>
      </c>
      <c r="F62" s="27" t="n">
        <v>6</v>
      </c>
      <c r="G62" s="28"/>
      <c r="H62" s="29"/>
      <c r="I62" s="27"/>
      <c r="J62" s="28" t="n">
        <v>1100</v>
      </c>
      <c r="K62" s="30"/>
      <c r="L62" s="30"/>
      <c r="M62" s="31" t="str">
        <f aca="false">IF(AND(ISNUMBER(G62),ISNUMBER(H62),ISNUMBER(I62),ISNUMBER(F62)),IF(AND(G62&gt;0,H62&gt;0,I62&gt;0,F62&gt;I62),G62*H62/I62*LN(F62/(F62-I62)),"N/A"),"N/A")</f>
        <v>N/A</v>
      </c>
      <c r="N62" s="0" t="str">
        <f aca="false">IF(ISNUMBER(M62),IF(AND(H62&gt;=$B$7,G62/(F62*$B$9)&lt;$B$8),"croisière","fusée"),"N/A")</f>
        <v>N/A</v>
      </c>
      <c r="O62" s="32" t="str">
        <f aca="false">IF(N62="fusée",MIN(M62,IF(C62="Jeu de base",$B$4,$B$5)),IF(N62="croisière",$B$6*SQRT(G62),"N/A"))</f>
        <v>N/A</v>
      </c>
      <c r="P62" s="32" t="n">
        <f aca="false">IF(E62="propulsé",IF(ISNUMBER(O62),IF(AND(ISNUMBER(K62),ISNUMBER(L62)),MEDIAN(K62,L62,O62),IF(ISNUMBER(L62),L62,IF(ISNUMBER(K62),K62,O62))),IF(ISNUMBER(K62),K62,"N/A")),IF(E62="arme à feu",IF(ISNUMBER(J62),IF(ISNUMBER(K62),MIN(J62,K62),J62),"N/A"),"N/A"))</f>
        <v>1100</v>
      </c>
      <c r="Q62" s="0" t="str">
        <f aca="false">IF(NOT(ISNUMBER(P62)),"aucune vitesse définie",IF(E62="arme à feu",IF(AND(ISNUMBER(K62),ISNUMBER(J62),K62&lt;J62),"vitesse max fixée (inférieure à la bouche)","vitesse initiale (bouche)"),IF(AND(ISNUMBER(K62),ISNUMBER(L62)),"médiane fichier / wiki / calcul",IF(ISNUMBER(L62),"wiki Delta-V",IF(ISNUMBER(K62),"vitesse fixée du fichier","calcul ("&amp;N62&amp;IF(AND(N62="fusée",M62&gt;O62),", plafonné","")&amp;")")))))</f>
        <v>vitesse initiale (bouche)</v>
      </c>
      <c r="R62" s="32" t="n">
        <f aca="false">IF(ISNUMBER(P62),IF(E62="arme à feu",IF($B$10=1,P62,"N/A"),P62),"N/A")</f>
        <v>1100</v>
      </c>
      <c r="S62" s="33" t="n">
        <f aca="false">IF(ISNUMBER(R62),ROUND(1+9*(SUMPRODUCT(ISNUMBER($R$21:$R$153)*($R$21:$R$153&lt;=R62))-1)/(COUNT($R$21:$R$153)-1),1),"N/A")</f>
        <v>7.1</v>
      </c>
      <c r="T62" s="34"/>
    </row>
    <row r="63" customFormat="false" ht="15" hidden="false" customHeight="false" outlineLevel="0" collapsed="false">
      <c r="A63" s="0" t="str">
        <f aca="false">B63&amp;"|"&amp;C63</f>
        <v>70mm Light AT|Jeu de base</v>
      </c>
      <c r="B63" s="0" t="s">
        <v>90</v>
      </c>
      <c r="C63" s="0" t="s">
        <v>36</v>
      </c>
      <c r="D63" s="0" t="s">
        <v>64</v>
      </c>
      <c r="E63" s="0" t="str">
        <f aca="false">IF(ISNUMBER(G63),"propulsé",IF(D63="Canon / mitrailleuse / lance-grenade","arme à feu","autre"))</f>
        <v>arme à feu</v>
      </c>
      <c r="F63" s="27" t="n">
        <v>1.3</v>
      </c>
      <c r="G63" s="28"/>
      <c r="H63" s="29"/>
      <c r="I63" s="27"/>
      <c r="J63" s="28" t="n">
        <v>280</v>
      </c>
      <c r="K63" s="30" t="n">
        <v>280</v>
      </c>
      <c r="L63" s="30"/>
      <c r="M63" s="31" t="str">
        <f aca="false">IF(AND(ISNUMBER(G63),ISNUMBER(H63),ISNUMBER(I63),ISNUMBER(F63)),IF(AND(G63&gt;0,H63&gt;0,I63&gt;0,F63&gt;I63),G63*H63/I63*LN(F63/(F63-I63)),"N/A"),"N/A")</f>
        <v>N/A</v>
      </c>
      <c r="N63" s="0" t="str">
        <f aca="false">IF(ISNUMBER(M63),IF(AND(H63&gt;=$B$7,G63/(F63*$B$9)&lt;$B$8),"croisière","fusée"),"N/A")</f>
        <v>N/A</v>
      </c>
      <c r="O63" s="32" t="str">
        <f aca="false">IF(N63="fusée",MIN(M63,IF(C63="Jeu de base",$B$4,$B$5)),IF(N63="croisière",$B$6*SQRT(G63),"N/A"))</f>
        <v>N/A</v>
      </c>
      <c r="P63" s="32" t="n">
        <f aca="false">IF(E63="propulsé",IF(ISNUMBER(O63),IF(AND(ISNUMBER(K63),ISNUMBER(L63)),MEDIAN(K63,L63,O63),IF(ISNUMBER(L63),L63,IF(ISNUMBER(K63),K63,O63))),IF(ISNUMBER(K63),K63,"N/A")),IF(E63="arme à feu",IF(ISNUMBER(J63),IF(ISNUMBER(K63),MIN(J63,K63),J63),"N/A"),"N/A"))</f>
        <v>280</v>
      </c>
      <c r="Q63" s="0" t="str">
        <f aca="false">IF(NOT(ISNUMBER(P63)),"aucune vitesse définie",IF(E63="arme à feu",IF(AND(ISNUMBER(K63),ISNUMBER(J63),K63&lt;J63),"vitesse max fixée (inférieure à la bouche)","vitesse initiale (bouche)"),IF(AND(ISNUMBER(K63),ISNUMBER(L63)),"médiane fichier / wiki / calcul",IF(ISNUMBER(L63),"wiki Delta-V",IF(ISNUMBER(K63),"vitesse fixée du fichier","calcul ("&amp;N63&amp;IF(AND(N63="fusée",M63&gt;O63),", plafonné","")&amp;")")))))</f>
        <v>vitesse initiale (bouche)</v>
      </c>
      <c r="R63" s="32" t="n">
        <f aca="false">IF(ISNUMBER(P63),IF(E63="arme à feu",IF($B$10=1,P63,"N/A"),P63),"N/A")</f>
        <v>280</v>
      </c>
      <c r="S63" s="33" t="n">
        <f aca="false">IF(ISNUMBER(R63),ROUND(1+9*(SUMPRODUCT(ISNUMBER($R$21:$R$153)*($R$21:$R$153&lt;=R63))-1)/(COUNT($R$21:$R$153)-1),1),"N/A")</f>
        <v>1.5</v>
      </c>
      <c r="T63" s="34"/>
    </row>
    <row r="64" customFormat="false" ht="15" hidden="false" customHeight="false" outlineLevel="0" collapsed="false">
      <c r="A64" s="0" t="str">
        <f aca="false">B64&amp;"|"&amp;C64</f>
        <v>76mm Cannon (variante 1)|Jeu de base</v>
      </c>
      <c r="B64" s="0" t="s">
        <v>91</v>
      </c>
      <c r="C64" s="0" t="s">
        <v>36</v>
      </c>
      <c r="D64" s="0" t="s">
        <v>64</v>
      </c>
      <c r="E64" s="0" t="str">
        <f aca="false">IF(ISNUMBER(G64),"propulsé",IF(D64="Canon / mitrailleuse / lance-grenade","arme à feu","autre"))</f>
        <v>arme à feu</v>
      </c>
      <c r="F64" s="27" t="n">
        <v>6.3</v>
      </c>
      <c r="G64" s="28"/>
      <c r="H64" s="29"/>
      <c r="I64" s="27"/>
      <c r="J64" s="28" t="n">
        <v>760</v>
      </c>
      <c r="K64" s="30"/>
      <c r="L64" s="30"/>
      <c r="M64" s="31" t="str">
        <f aca="false">IF(AND(ISNUMBER(G64),ISNUMBER(H64),ISNUMBER(I64),ISNUMBER(F64)),IF(AND(G64&gt;0,H64&gt;0,I64&gt;0,F64&gt;I64),G64*H64/I64*LN(F64/(F64-I64)),"N/A"),"N/A")</f>
        <v>N/A</v>
      </c>
      <c r="N64" s="0" t="str">
        <f aca="false">IF(ISNUMBER(M64),IF(AND(H64&gt;=$B$7,G64/(F64*$B$9)&lt;$B$8),"croisière","fusée"),"N/A")</f>
        <v>N/A</v>
      </c>
      <c r="O64" s="32" t="str">
        <f aca="false">IF(N64="fusée",MIN(M64,IF(C64="Jeu de base",$B$4,$B$5)),IF(N64="croisière",$B$6*SQRT(G64),"N/A"))</f>
        <v>N/A</v>
      </c>
      <c r="P64" s="32" t="n">
        <f aca="false">IF(E64="propulsé",IF(ISNUMBER(O64),IF(AND(ISNUMBER(K64),ISNUMBER(L64)),MEDIAN(K64,L64,O64),IF(ISNUMBER(L64),L64,IF(ISNUMBER(K64),K64,O64))),IF(ISNUMBER(K64),K64,"N/A")),IF(E64="arme à feu",IF(ISNUMBER(J64),IF(ISNUMBER(K64),MIN(J64,K64),J64),"N/A"),"N/A"))</f>
        <v>760</v>
      </c>
      <c r="Q64" s="0" t="str">
        <f aca="false">IF(NOT(ISNUMBER(P64)),"aucune vitesse définie",IF(E64="arme à feu",IF(AND(ISNUMBER(K64),ISNUMBER(J64),K64&lt;J64),"vitesse max fixée (inférieure à la bouche)","vitesse initiale (bouche)"),IF(AND(ISNUMBER(K64),ISNUMBER(L64)),"médiane fichier / wiki / calcul",IF(ISNUMBER(L64),"wiki Delta-V",IF(ISNUMBER(K64),"vitesse fixée du fichier","calcul ("&amp;N64&amp;IF(AND(N64="fusée",M64&gt;O64),", plafonné","")&amp;")")))))</f>
        <v>vitesse initiale (bouche)</v>
      </c>
      <c r="R64" s="32" t="n">
        <f aca="false">IF(ISNUMBER(P64),IF(E64="arme à feu",IF($B$10=1,P64,"N/A"),P64),"N/A")</f>
        <v>760</v>
      </c>
      <c r="S64" s="33" t="n">
        <f aca="false">IF(ISNUMBER(R64),ROUND(1+9*(SUMPRODUCT(ISNUMBER($R$21:$R$153)*($R$21:$R$153&lt;=R64))-1)/(COUNT($R$21:$R$153)-1),1),"N/A")</f>
        <v>3</v>
      </c>
      <c r="T64" s="34"/>
    </row>
    <row r="65" customFormat="false" ht="15" hidden="false" customHeight="false" outlineLevel="0" collapsed="false">
      <c r="A65" s="0" t="str">
        <f aca="false">B65&amp;"|"&amp;C65</f>
        <v>76mm Cannon (variante 2)|Jeu de base</v>
      </c>
      <c r="B65" s="0" t="s">
        <v>92</v>
      </c>
      <c r="C65" s="0" t="s">
        <v>36</v>
      </c>
      <c r="D65" s="0" t="s">
        <v>64</v>
      </c>
      <c r="E65" s="0" t="str">
        <f aca="false">IF(ISNUMBER(G65),"propulsé",IF(D65="Canon / mitrailleuse / lance-grenade","arme à feu","autre"))</f>
        <v>arme à feu</v>
      </c>
      <c r="F65" s="27" t="n">
        <v>6.3</v>
      </c>
      <c r="G65" s="28"/>
      <c r="H65" s="29"/>
      <c r="I65" s="27"/>
      <c r="J65" s="28" t="n">
        <v>950</v>
      </c>
      <c r="K65" s="30"/>
      <c r="L65" s="30"/>
      <c r="M65" s="31" t="str">
        <f aca="false">IF(AND(ISNUMBER(G65),ISNUMBER(H65),ISNUMBER(I65),ISNUMBER(F65)),IF(AND(G65&gt;0,H65&gt;0,I65&gt;0,F65&gt;I65),G65*H65/I65*LN(F65/(F65-I65)),"N/A"),"N/A")</f>
        <v>N/A</v>
      </c>
      <c r="N65" s="0" t="str">
        <f aca="false">IF(ISNUMBER(M65),IF(AND(H65&gt;=$B$7,G65/(F65*$B$9)&lt;$B$8),"croisière","fusée"),"N/A")</f>
        <v>N/A</v>
      </c>
      <c r="O65" s="32" t="str">
        <f aca="false">IF(N65="fusée",MIN(M65,IF(C65="Jeu de base",$B$4,$B$5)),IF(N65="croisière",$B$6*SQRT(G65),"N/A"))</f>
        <v>N/A</v>
      </c>
      <c r="P65" s="32" t="n">
        <f aca="false">IF(E65="propulsé",IF(ISNUMBER(O65),IF(AND(ISNUMBER(K65),ISNUMBER(L65)),MEDIAN(K65,L65,O65),IF(ISNUMBER(L65),L65,IF(ISNUMBER(K65),K65,O65))),IF(ISNUMBER(K65),K65,"N/A")),IF(E65="arme à feu",IF(ISNUMBER(J65),IF(ISNUMBER(K65),MIN(J65,K65),J65),"N/A"),"N/A"))</f>
        <v>950</v>
      </c>
      <c r="Q65" s="0" t="str">
        <f aca="false">IF(NOT(ISNUMBER(P65)),"aucune vitesse définie",IF(E65="arme à feu",IF(AND(ISNUMBER(K65),ISNUMBER(J65),K65&lt;J65),"vitesse max fixée (inférieure à la bouche)","vitesse initiale (bouche)"),IF(AND(ISNUMBER(K65),ISNUMBER(L65)),"médiane fichier / wiki / calcul",IF(ISNUMBER(L65),"wiki Delta-V",IF(ISNUMBER(K65),"vitesse fixée du fichier","calcul ("&amp;N65&amp;IF(AND(N65="fusée",M65&gt;O65),", plafonné","")&amp;")")))))</f>
        <v>vitesse initiale (bouche)</v>
      </c>
      <c r="R65" s="32" t="n">
        <f aca="false">IF(ISNUMBER(P65),IF(E65="arme à feu",IF($B$10=1,P65,"N/A"),P65),"N/A")</f>
        <v>950</v>
      </c>
      <c r="S65" s="33" t="n">
        <f aca="false">IF(ISNUMBER(R65),ROUND(1+9*(SUMPRODUCT(ISNUMBER($R$21:$R$153)*($R$21:$R$153&lt;=R65))-1)/(COUNT($R$21:$R$153)-1),1),"N/A")</f>
        <v>5.1</v>
      </c>
      <c r="T65" s="34"/>
    </row>
    <row r="66" customFormat="false" ht="15" hidden="false" customHeight="false" outlineLevel="0" collapsed="false">
      <c r="A66" s="0" t="str">
        <f aca="false">B66&amp;"|"&amp;C66</f>
        <v>??? (variante 2)|Jeu de base</v>
      </c>
      <c r="B66" s="0" t="s">
        <v>93</v>
      </c>
      <c r="C66" s="0" t="s">
        <v>36</v>
      </c>
      <c r="D66" s="0" t="s">
        <v>64</v>
      </c>
      <c r="E66" s="0" t="str">
        <f aca="false">IF(ISNUMBER(G66),"propulsé",IF(D66="Canon / mitrailleuse / lance-grenade","arme à feu","autre"))</f>
        <v>arme à feu</v>
      </c>
      <c r="F66" s="27" t="n">
        <v>0</v>
      </c>
      <c r="G66" s="28"/>
      <c r="H66" s="29"/>
      <c r="I66" s="27"/>
      <c r="J66" s="28" t="n">
        <v>400</v>
      </c>
      <c r="K66" s="30" t="n">
        <v>400</v>
      </c>
      <c r="L66" s="30"/>
      <c r="M66" s="31" t="str">
        <f aca="false">IF(AND(ISNUMBER(G66),ISNUMBER(H66),ISNUMBER(I66),ISNUMBER(F66)),IF(AND(G66&gt;0,H66&gt;0,I66&gt;0,F66&gt;I66),G66*H66/I66*LN(F66/(F66-I66)),"N/A"),"N/A")</f>
        <v>N/A</v>
      </c>
      <c r="N66" s="0" t="str">
        <f aca="false">IF(ISNUMBER(M66),IF(AND(H66&gt;=$B$7,G66/(F66*$B$9)&lt;$B$8),"croisière","fusée"),"N/A")</f>
        <v>N/A</v>
      </c>
      <c r="O66" s="32" t="str">
        <f aca="false">IF(N66="fusée",MIN(M66,IF(C66="Jeu de base",$B$4,$B$5)),IF(N66="croisière",$B$6*SQRT(G66),"N/A"))</f>
        <v>N/A</v>
      </c>
      <c r="P66" s="32" t="n">
        <f aca="false">IF(E66="propulsé",IF(ISNUMBER(O66),IF(AND(ISNUMBER(K66),ISNUMBER(L66)),MEDIAN(K66,L66,O66),IF(ISNUMBER(L66),L66,IF(ISNUMBER(K66),K66,O66))),IF(ISNUMBER(K66),K66,"N/A")),IF(E66="arme à feu",IF(ISNUMBER(J66),IF(ISNUMBER(K66),MIN(J66,K66),J66),"N/A"),"N/A"))</f>
        <v>400</v>
      </c>
      <c r="Q66" s="0" t="str">
        <f aca="false">IF(NOT(ISNUMBER(P66)),"aucune vitesse définie",IF(E66="arme à feu",IF(AND(ISNUMBER(K66),ISNUMBER(J66),K66&lt;J66),"vitesse max fixée (inférieure à la bouche)","vitesse initiale (bouche)"),IF(AND(ISNUMBER(K66),ISNUMBER(L66)),"médiane fichier / wiki / calcul",IF(ISNUMBER(L66),"wiki Delta-V",IF(ISNUMBER(K66),"vitesse fixée du fichier","calcul ("&amp;N66&amp;IF(AND(N66="fusée",M66&gt;O66),", plafonné","")&amp;")")))))</f>
        <v>vitesse initiale (bouche)</v>
      </c>
      <c r="R66" s="32" t="n">
        <f aca="false">IF(ISNUMBER(P66),IF(E66="arme à feu",IF($B$10=1,P66,"N/A"),P66),"N/A")</f>
        <v>400</v>
      </c>
      <c r="S66" s="33" t="n">
        <f aca="false">IF(ISNUMBER(R66),ROUND(1+9*(SUMPRODUCT(ISNUMBER($R$21:$R$153)*($R$21:$R$153&lt;=R66))-1)/(COUNT($R$21:$R$153)-1),1),"N/A")</f>
        <v>2.3</v>
      </c>
      <c r="T66" s="34"/>
    </row>
    <row r="67" customFormat="false" ht="15" hidden="false" customHeight="false" outlineLevel="0" collapsed="false">
      <c r="A67" s="0" t="str">
        <f aca="false">B67&amp;"|"&amp;C67</f>
        <v>??? (variante 4)|Jeu de base</v>
      </c>
      <c r="B67" s="0" t="s">
        <v>94</v>
      </c>
      <c r="C67" s="0" t="s">
        <v>36</v>
      </c>
      <c r="D67" s="0" t="s">
        <v>64</v>
      </c>
      <c r="E67" s="0" t="str">
        <f aca="false">IF(ISNUMBER(G67),"propulsé",IF(D67="Canon / mitrailleuse / lance-grenade","arme à feu","autre"))</f>
        <v>arme à feu</v>
      </c>
      <c r="F67" s="27" t="n">
        <v>0</v>
      </c>
      <c r="G67" s="28"/>
      <c r="H67" s="29"/>
      <c r="I67" s="27"/>
      <c r="J67" s="28" t="n">
        <v>5000</v>
      </c>
      <c r="K67" s="30" t="n">
        <v>5000</v>
      </c>
      <c r="L67" s="30"/>
      <c r="M67" s="31" t="str">
        <f aca="false">IF(AND(ISNUMBER(G67),ISNUMBER(H67),ISNUMBER(I67),ISNUMBER(F67)),IF(AND(G67&gt;0,H67&gt;0,I67&gt;0,F67&gt;I67),G67*H67/I67*LN(F67/(F67-I67)),"N/A"),"N/A")</f>
        <v>N/A</v>
      </c>
      <c r="N67" s="0" t="str">
        <f aca="false">IF(ISNUMBER(M67),IF(AND(H67&gt;=$B$7,G67/(F67*$B$9)&lt;$B$8),"croisière","fusée"),"N/A")</f>
        <v>N/A</v>
      </c>
      <c r="O67" s="32" t="str">
        <f aca="false">IF(N67="fusée",MIN(M67,IF(C67="Jeu de base",$B$4,$B$5)),IF(N67="croisière",$B$6*SQRT(G67),"N/A"))</f>
        <v>N/A</v>
      </c>
      <c r="P67" s="32" t="n">
        <f aca="false">IF(E67="propulsé",IF(ISNUMBER(O67),IF(AND(ISNUMBER(K67),ISNUMBER(L67)),MEDIAN(K67,L67,O67),IF(ISNUMBER(L67),L67,IF(ISNUMBER(K67),K67,O67))),IF(ISNUMBER(K67),K67,"N/A")),IF(E67="arme à feu",IF(ISNUMBER(J67),IF(ISNUMBER(K67),MIN(J67,K67),J67),"N/A"),"N/A"))</f>
        <v>5000</v>
      </c>
      <c r="Q67" s="0" t="str">
        <f aca="false">IF(NOT(ISNUMBER(P67)),"aucune vitesse définie",IF(E67="arme à feu",IF(AND(ISNUMBER(K67),ISNUMBER(J67),K67&lt;J67),"vitesse max fixée (inférieure à la bouche)","vitesse initiale (bouche)"),IF(AND(ISNUMBER(K67),ISNUMBER(L67)),"médiane fichier / wiki / calcul",IF(ISNUMBER(L67),"wiki Delta-V",IF(ISNUMBER(K67),"vitesse fixée du fichier","calcul ("&amp;N67&amp;IF(AND(N67="fusée",M67&gt;O67),", plafonné","")&amp;")")))))</f>
        <v>vitesse initiale (bouche)</v>
      </c>
      <c r="R67" s="32" t="n">
        <f aca="false">IF(ISNUMBER(P67),IF(E67="arme à feu",IF($B$10=1,P67,"N/A"),P67),"N/A")</f>
        <v>5000</v>
      </c>
      <c r="S67" s="33" t="n">
        <f aca="false">IF(ISNUMBER(R67),ROUND(1+9*(SUMPRODUCT(ISNUMBER($R$21:$R$153)*($R$21:$R$153&lt;=R67))-1)/(COUNT($R$21:$R$153)-1),1),"N/A")</f>
        <v>10</v>
      </c>
      <c r="T67" s="34"/>
    </row>
    <row r="68" customFormat="false" ht="15" hidden="false" customHeight="false" outlineLevel="0" collapsed="false">
      <c r="A68" s="0" t="str">
        <f aca="false">B68&amp;"|"&amp;C68</f>
        <v>Light Machine Gun|Jeu de base</v>
      </c>
      <c r="B68" s="0" t="s">
        <v>95</v>
      </c>
      <c r="C68" s="0" t="s">
        <v>36</v>
      </c>
      <c r="D68" s="0" t="s">
        <v>64</v>
      </c>
      <c r="E68" s="0" t="str">
        <f aca="false">IF(ISNUMBER(G68),"propulsé",IF(D68="Canon / mitrailleuse / lance-grenade","arme à feu","autre"))</f>
        <v>arme à feu</v>
      </c>
      <c r="F68" s="27" t="n">
        <v>0.04</v>
      </c>
      <c r="G68" s="28"/>
      <c r="H68" s="29"/>
      <c r="I68" s="27"/>
      <c r="J68" s="28" t="n">
        <v>920</v>
      </c>
      <c r="K68" s="30" t="n">
        <v>920</v>
      </c>
      <c r="L68" s="30"/>
      <c r="M68" s="31" t="str">
        <f aca="false">IF(AND(ISNUMBER(G68),ISNUMBER(H68),ISNUMBER(I68),ISNUMBER(F68)),IF(AND(G68&gt;0,H68&gt;0,I68&gt;0,F68&gt;I68),G68*H68/I68*LN(F68/(F68-I68)),"N/A"),"N/A")</f>
        <v>N/A</v>
      </c>
      <c r="N68" s="0" t="str">
        <f aca="false">IF(ISNUMBER(M68),IF(AND(H68&gt;=$B$7,G68/(F68*$B$9)&lt;$B$8),"croisière","fusée"),"N/A")</f>
        <v>N/A</v>
      </c>
      <c r="O68" s="32" t="str">
        <f aca="false">IF(N68="fusée",MIN(M68,IF(C68="Jeu de base",$B$4,$B$5)),IF(N68="croisière",$B$6*SQRT(G68),"N/A"))</f>
        <v>N/A</v>
      </c>
      <c r="P68" s="32" t="n">
        <f aca="false">IF(E68="propulsé",IF(ISNUMBER(O68),IF(AND(ISNUMBER(K68),ISNUMBER(L68)),MEDIAN(K68,L68,O68),IF(ISNUMBER(L68),L68,IF(ISNUMBER(K68),K68,O68))),IF(ISNUMBER(K68),K68,"N/A")),IF(E68="arme à feu",IF(ISNUMBER(J68),IF(ISNUMBER(K68),MIN(J68,K68),J68),"N/A"),"N/A"))</f>
        <v>920</v>
      </c>
      <c r="Q68" s="0" t="str">
        <f aca="false">IF(NOT(ISNUMBER(P68)),"aucune vitesse définie",IF(E68="arme à feu",IF(AND(ISNUMBER(K68),ISNUMBER(J68),K68&lt;J68),"vitesse max fixée (inférieure à la bouche)","vitesse initiale (bouche)"),IF(AND(ISNUMBER(K68),ISNUMBER(L68)),"médiane fichier / wiki / calcul",IF(ISNUMBER(L68),"wiki Delta-V",IF(ISNUMBER(K68),"vitesse fixée du fichier","calcul ("&amp;N68&amp;IF(AND(N68="fusée",M68&gt;O68),", plafonné","")&amp;")")))))</f>
        <v>vitesse initiale (bouche)</v>
      </c>
      <c r="R68" s="32" t="n">
        <f aca="false">IF(ISNUMBER(P68),IF(E68="arme à feu",IF($B$10=1,P68,"N/A"),P68),"N/A")</f>
        <v>920</v>
      </c>
      <c r="S68" s="33" t="n">
        <f aca="false">IF(ISNUMBER(R68),ROUND(1+9*(SUMPRODUCT(ISNUMBER($R$21:$R$153)*($R$21:$R$153&lt;=R68))-1)/(COUNT($R$21:$R$153)-1),1),"N/A")</f>
        <v>5</v>
      </c>
      <c r="T68" s="34"/>
    </row>
    <row r="69" customFormat="false" ht="15" hidden="false" customHeight="false" outlineLevel="0" collapsed="false">
      <c r="A69" s="0" t="str">
        <f aca="false">B69&amp;"|"&amp;C69</f>
        <v>AAM-29 Scythe|Jeu de base</v>
      </c>
      <c r="B69" s="0" t="s">
        <v>96</v>
      </c>
      <c r="C69" s="0" t="s">
        <v>36</v>
      </c>
      <c r="D69" s="0" t="s">
        <v>97</v>
      </c>
      <c r="E69" s="0" t="str">
        <f aca="false">IF(ISNUMBER(G69),"propulsé",IF(D69="Canon / mitrailleuse / lance-grenade","arme à feu","autre"))</f>
        <v>propulsé</v>
      </c>
      <c r="F69" s="27" t="n">
        <v>160</v>
      </c>
      <c r="G69" s="28" t="n">
        <v>44000</v>
      </c>
      <c r="H69" s="29" t="n">
        <v>6</v>
      </c>
      <c r="I69" s="27" t="n">
        <v>60</v>
      </c>
      <c r="J69" s="28"/>
      <c r="K69" s="30"/>
      <c r="L69" s="30" t="n">
        <v>1150</v>
      </c>
      <c r="M69" s="31" t="n">
        <f aca="false">IF(AND(ISNUMBER(G69),ISNUMBER(H69),ISNUMBER(I69),ISNUMBER(F69)),IF(AND(G69&gt;0,H69&gt;0,I69&gt;0,F69&gt;I69),G69*H69/I69*LN(F69/(F69-I69)),"N/A"),"N/A")</f>
        <v>2068.01596868124</v>
      </c>
      <c r="N69" s="0" t="str">
        <f aca="false">IF(ISNUMBER(M69),IF(AND(H69&gt;=$B$7,G69/(F69*$B$9)&lt;$B$8),"croisière","fusée"),"N/A")</f>
        <v>fusée</v>
      </c>
      <c r="O69" s="32" t="n">
        <f aca="false">IF(N69="fusée",MIN(M69,IF(C69="Jeu de base",$B$4,$B$5)),IF(N69="croisière",$B$6*SQRT(G69),"N/A"))</f>
        <v>1250</v>
      </c>
      <c r="P69" s="32" t="n">
        <f aca="false">IF(E69="propulsé",IF(ISNUMBER(O69),IF(AND(ISNUMBER(K69),ISNUMBER(L69)),MEDIAN(K69,L69,O69),IF(ISNUMBER(L69),L69,IF(ISNUMBER(K69),K69,O69))),IF(ISNUMBER(K69),K69,"N/A")),IF(E69="arme à feu",IF(ISNUMBER(J69),IF(ISNUMBER(K69),MIN(J69,K69),J69),"N/A"),"N/A"))</f>
        <v>1150</v>
      </c>
      <c r="Q69" s="0" t="str">
        <f aca="false">IF(NOT(ISNUMBER(P69)),"aucune vitesse définie",IF(E69="arme à feu",IF(AND(ISNUMBER(K69),ISNUMBER(J69),K69&lt;J69),"vitesse max fixée (inférieure à la bouche)","vitesse initiale (bouche)"),IF(AND(ISNUMBER(K69),ISNUMBER(L69)),"médiane fichier / wiki / calcul",IF(ISNUMBER(L69),"wiki Delta-V",IF(ISNUMBER(K69),"vitesse fixée du fichier","calcul ("&amp;N69&amp;IF(AND(N69="fusée",M69&gt;O69),", plafonné","")&amp;")")))))</f>
        <v>wiki Delta-V</v>
      </c>
      <c r="R69" s="32" t="n">
        <f aca="false">IF(ISNUMBER(P69),IF(E69="arme à feu",IF($B$10=1,P69,"N/A"),P69),"N/A")</f>
        <v>1150</v>
      </c>
      <c r="S69" s="33" t="n">
        <f aca="false">IF(ISNUMBER(R69),ROUND(1+9*(SUMPRODUCT(ISNUMBER($R$21:$R$153)*($R$21:$R$153&lt;=R69))-1)/(COUNT($R$21:$R$153)-1),1),"N/A")</f>
        <v>7.2</v>
      </c>
      <c r="T69" s="34" t="n">
        <v>6</v>
      </c>
    </row>
    <row r="70" customFormat="false" ht="15" hidden="false" customHeight="false" outlineLevel="0" collapsed="false">
      <c r="A70" s="0" t="str">
        <f aca="false">B70&amp;"|"&amp;C70</f>
        <v>AAM-36 Scimitar|Jeu de base</v>
      </c>
      <c r="B70" s="0" t="s">
        <v>100</v>
      </c>
      <c r="C70" s="0" t="s">
        <v>36</v>
      </c>
      <c r="D70" s="0" t="s">
        <v>97</v>
      </c>
      <c r="E70" s="0" t="str">
        <f aca="false">IF(ISNUMBER(G70),"propulsé",IF(D70="Canon / mitrailleuse / lance-grenade","arme à feu","autre"))</f>
        <v>propulsé</v>
      </c>
      <c r="F70" s="27" t="n">
        <v>200</v>
      </c>
      <c r="G70" s="28" t="n">
        <v>23500</v>
      </c>
      <c r="H70" s="29" t="n">
        <v>60</v>
      </c>
      <c r="I70" s="27" t="n">
        <v>65</v>
      </c>
      <c r="J70" s="28"/>
      <c r="K70" s="30"/>
      <c r="L70" s="30" t="n">
        <v>1276.111</v>
      </c>
      <c r="M70" s="31" t="n">
        <f aca="false">IF(AND(ISNUMBER(G70),ISNUMBER(H70),ISNUMBER(I70),ISNUMBER(F70)),IF(AND(G70&gt;0,H70&gt;0,I70&gt;0,F70&gt;I70),G70*H70/I70*LN(F70/(F70-I70)),"N/A"),"N/A")</f>
        <v>8526.00075745456</v>
      </c>
      <c r="N70" s="0" t="str">
        <f aca="false">IF(ISNUMBER(M70),IF(AND(H70&gt;=$B$7,G70/(F70*$B$9)&lt;$B$8),"croisière","fusée"),"N/A")</f>
        <v>fusée</v>
      </c>
      <c r="O70" s="32" t="n">
        <f aca="false">IF(N70="fusée",MIN(M70,IF(C70="Jeu de base",$B$4,$B$5)),IF(N70="croisière",$B$6*SQRT(G70),"N/A"))</f>
        <v>1250</v>
      </c>
      <c r="P70" s="32" t="n">
        <f aca="false">IF(E70="propulsé",IF(ISNUMBER(O70),IF(AND(ISNUMBER(K70),ISNUMBER(L70)),MEDIAN(K70,L70,O70),IF(ISNUMBER(L70),L70,IF(ISNUMBER(K70),K70,O70))),IF(ISNUMBER(K70),K70,"N/A")),IF(E70="arme à feu",IF(ISNUMBER(J70),IF(ISNUMBER(K70),MIN(J70,K70),J70),"N/A"),"N/A"))</f>
        <v>1276.111</v>
      </c>
      <c r="Q70" s="0" t="str">
        <f aca="false">IF(NOT(ISNUMBER(P70)),"aucune vitesse définie",IF(E70="arme à feu",IF(AND(ISNUMBER(K70),ISNUMBER(J70),K70&lt;J70),"vitesse max fixée (inférieure à la bouche)","vitesse initiale (bouche)"),IF(AND(ISNUMBER(K70),ISNUMBER(L70)),"médiane fichier / wiki / calcul",IF(ISNUMBER(L70),"wiki Delta-V",IF(ISNUMBER(K70),"vitesse fixée du fichier","calcul ("&amp;N70&amp;IF(AND(N70="fusée",M70&gt;O70),", plafonné","")&amp;")")))))</f>
        <v>wiki Delta-V</v>
      </c>
      <c r="R70" s="32" t="n">
        <f aca="false">IF(ISNUMBER(P70),IF(E70="arme à feu",IF($B$10=1,P70,"N/A"),P70),"N/A")</f>
        <v>1276.111</v>
      </c>
      <c r="S70" s="33" t="n">
        <f aca="false">IF(ISNUMBER(R70),ROUND(1+9*(SUMPRODUCT(ISNUMBER($R$21:$R$153)*($R$21:$R$153&lt;=R70))-1)/(COUNT($R$21:$R$153)-1),1),"N/A")</f>
        <v>8.3</v>
      </c>
      <c r="T70" s="34" t="n">
        <v>8.7</v>
      </c>
    </row>
    <row r="71" customFormat="false" ht="15" hidden="false" customHeight="false" outlineLevel="0" collapsed="false">
      <c r="A71" s="0" t="str">
        <f aca="false">B71&amp;"|"&amp;C71</f>
        <v>AGM-48|Jeu de base</v>
      </c>
      <c r="B71" s="0" t="s">
        <v>102</v>
      </c>
      <c r="C71" s="0" t="s">
        <v>36</v>
      </c>
      <c r="D71" s="0" t="s">
        <v>97</v>
      </c>
      <c r="E71" s="0" t="str">
        <f aca="false">IF(ISNUMBER(G71),"propulsé",IF(D71="Canon / mitrailleuse / lance-grenade","arme à feu","autre"))</f>
        <v>propulsé</v>
      </c>
      <c r="F71" s="27" t="n">
        <v>50</v>
      </c>
      <c r="G71" s="28" t="n">
        <v>4000</v>
      </c>
      <c r="H71" s="29" t="n">
        <v>3.5</v>
      </c>
      <c r="I71" s="27" t="n">
        <v>20</v>
      </c>
      <c r="J71" s="28"/>
      <c r="K71" s="30"/>
      <c r="L71" s="30" t="n">
        <v>357.5</v>
      </c>
      <c r="M71" s="31" t="n">
        <f aca="false">IF(AND(ISNUMBER(G71),ISNUMBER(H71),ISNUMBER(I71),ISNUMBER(F71)),IF(AND(G71&gt;0,H71&gt;0,I71&gt;0,F71&gt;I71),G71*H71/I71*LN(F71/(F71-I71)),"N/A"),"N/A")</f>
        <v>357.577936636194</v>
      </c>
      <c r="N71" s="0" t="str">
        <f aca="false">IF(ISNUMBER(M71),IF(AND(H71&gt;=$B$7,G71/(F71*$B$9)&lt;$B$8),"croisière","fusée"),"N/A")</f>
        <v>fusée</v>
      </c>
      <c r="O71" s="32" t="n">
        <f aca="false">IF(N71="fusée",MIN(M71,IF(C71="Jeu de base",$B$4,$B$5)),IF(N71="croisière",$B$6*SQRT(G71),"N/A"))</f>
        <v>357.577936636194</v>
      </c>
      <c r="P71" s="32" t="n">
        <f aca="false">IF(E71="propulsé",IF(ISNUMBER(O71),IF(AND(ISNUMBER(K71),ISNUMBER(L71)),MEDIAN(K71,L71,O71),IF(ISNUMBER(L71),L71,IF(ISNUMBER(K71),K71,O71))),IF(ISNUMBER(K71),K71,"N/A")),IF(E71="arme à feu",IF(ISNUMBER(J71),IF(ISNUMBER(K71),MIN(J71,K71),J71),"N/A"),"N/A"))</f>
        <v>357.5</v>
      </c>
      <c r="Q71" s="0" t="str">
        <f aca="false">IF(NOT(ISNUMBER(P71)),"aucune vitesse définie",IF(E71="arme à feu",IF(AND(ISNUMBER(K71),ISNUMBER(J71),K71&lt;J71),"vitesse max fixée (inférieure à la bouche)","vitesse initiale (bouche)"),IF(AND(ISNUMBER(K71),ISNUMBER(L71)),"médiane fichier / wiki / calcul",IF(ISNUMBER(L71),"wiki Delta-V",IF(ISNUMBER(K71),"vitesse fixée du fichier","calcul ("&amp;N71&amp;IF(AND(N71="fusée",M71&gt;O71),", plafonné","")&amp;")")))))</f>
        <v>wiki Delta-V</v>
      </c>
      <c r="R71" s="32" t="n">
        <f aca="false">IF(ISNUMBER(P71),IF(E71="arme à feu",IF($B$10=1,P71,"N/A"),P71),"N/A")</f>
        <v>357.5</v>
      </c>
      <c r="S71" s="33" t="n">
        <f aca="false">IF(ISNUMBER(R71),ROUND(1+9*(SUMPRODUCT(ISNUMBER($R$21:$R$153)*($R$21:$R$153&lt;=R71))-1)/(COUNT($R$21:$R$153)-1),1),"N/A")</f>
        <v>2.1</v>
      </c>
      <c r="T71" s="34" t="n">
        <v>1.2</v>
      </c>
    </row>
    <row r="72" customFormat="false" ht="15" hidden="false" customHeight="false" outlineLevel="0" collapsed="false">
      <c r="A72" s="0" t="str">
        <f aca="false">B72&amp;"|"&amp;C72</f>
        <v>AGM-68|Jeu de base</v>
      </c>
      <c r="B72" s="0" t="s">
        <v>104</v>
      </c>
      <c r="C72" s="0" t="s">
        <v>36</v>
      </c>
      <c r="D72" s="0" t="s">
        <v>97</v>
      </c>
      <c r="E72" s="0" t="str">
        <f aca="false">IF(ISNUMBER(G72),"propulsé",IF(D72="Canon / mitrailleuse / lance-grenade","arme à feu","autre"))</f>
        <v>propulsé</v>
      </c>
      <c r="F72" s="27" t="n">
        <v>250</v>
      </c>
      <c r="G72" s="28" t="n">
        <v>22000</v>
      </c>
      <c r="H72" s="29" t="n">
        <v>3.5</v>
      </c>
      <c r="I72" s="27" t="n">
        <v>100</v>
      </c>
      <c r="J72" s="28"/>
      <c r="K72" s="30"/>
      <c r="L72" s="30" t="n">
        <v>393.333</v>
      </c>
      <c r="M72" s="31" t="n">
        <f aca="false">IF(AND(ISNUMBER(G72),ISNUMBER(H72),ISNUMBER(I72),ISNUMBER(F72)),IF(AND(G72&gt;0,H72&gt;0,I72&gt;0,F72&gt;I72),G72*H72/I72*LN(F72/(F72-I72)),"N/A"),"N/A")</f>
        <v>393.335730299813</v>
      </c>
      <c r="N72" s="0" t="str">
        <f aca="false">IF(ISNUMBER(M72),IF(AND(H72&gt;=$B$7,G72/(F72*$B$9)&lt;$B$8),"croisière","fusée"),"N/A")</f>
        <v>fusée</v>
      </c>
      <c r="O72" s="32" t="n">
        <f aca="false">IF(N72="fusée",MIN(M72,IF(C72="Jeu de base",$B$4,$B$5)),IF(N72="croisière",$B$6*SQRT(G72),"N/A"))</f>
        <v>393.335730299813</v>
      </c>
      <c r="P72" s="32" t="n">
        <f aca="false">IF(E72="propulsé",IF(ISNUMBER(O72),IF(AND(ISNUMBER(K72),ISNUMBER(L72)),MEDIAN(K72,L72,O72),IF(ISNUMBER(L72),L72,IF(ISNUMBER(K72),K72,O72))),IF(ISNUMBER(K72),K72,"N/A")),IF(E72="arme à feu",IF(ISNUMBER(J72),IF(ISNUMBER(K72),MIN(J72,K72),J72),"N/A"),"N/A"))</f>
        <v>393.333</v>
      </c>
      <c r="Q72" s="0" t="str">
        <f aca="false">IF(NOT(ISNUMBER(P72)),"aucune vitesse définie",IF(E72="arme à feu",IF(AND(ISNUMBER(K72),ISNUMBER(J72),K72&lt;J72),"vitesse max fixée (inférieure à la bouche)","vitesse initiale (bouche)"),IF(AND(ISNUMBER(K72),ISNUMBER(L72)),"médiane fichier / wiki / calcul",IF(ISNUMBER(L72),"wiki Delta-V",IF(ISNUMBER(K72),"vitesse fixée du fichier","calcul ("&amp;N72&amp;IF(AND(N72="fusée",M72&gt;O72),", plafonné","")&amp;")")))))</f>
        <v>wiki Delta-V</v>
      </c>
      <c r="R72" s="32" t="n">
        <f aca="false">IF(ISNUMBER(P72),IF(E72="arme à feu",IF($B$10=1,P72,"N/A"),P72),"N/A")</f>
        <v>393.333</v>
      </c>
      <c r="S72" s="33" t="n">
        <f aca="false">IF(ISNUMBER(R72),ROUND(1+9*(SUMPRODUCT(ISNUMBER($R$21:$R$153)*($R$21:$R$153&lt;=R72))-1)/(COUNT($R$21:$R$153)-1),1),"N/A")</f>
        <v>2.2</v>
      </c>
      <c r="T72" s="34" t="n">
        <v>1.7</v>
      </c>
    </row>
    <row r="73" customFormat="false" ht="15" hidden="false" customHeight="false" outlineLevel="0" collapsed="false">
      <c r="A73" s="0" t="str">
        <f aca="false">B73&amp;"|"&amp;C73</f>
        <v>AGM-99|Jeu de base</v>
      </c>
      <c r="B73" s="0" t="s">
        <v>106</v>
      </c>
      <c r="C73" s="0" t="s">
        <v>36</v>
      </c>
      <c r="D73" s="0" t="s">
        <v>97</v>
      </c>
      <c r="E73" s="0" t="str">
        <f aca="false">IF(ISNUMBER(G73),"propulsé",IF(D73="Canon / mitrailleuse / lance-grenade","arme à feu","autre"))</f>
        <v>propulsé</v>
      </c>
      <c r="F73" s="27" t="n">
        <v>450</v>
      </c>
      <c r="G73" s="28" t="n">
        <v>3600</v>
      </c>
      <c r="H73" s="29" t="n">
        <v>300</v>
      </c>
      <c r="I73" s="27" t="n">
        <v>100</v>
      </c>
      <c r="J73" s="28"/>
      <c r="K73" s="30"/>
      <c r="L73" s="30" t="n">
        <v>309.722</v>
      </c>
      <c r="M73" s="31" t="n">
        <f aca="false">IF(AND(ISNUMBER(G73),ISNUMBER(H73),ISNUMBER(I73),ISNUMBER(F73)),IF(AND(G73&gt;0,H73&gt;0,I73&gt;0,F73&gt;I73),G73*H73/I73*LN(F73/(F73-I73)),"N/A"),"N/A")</f>
        <v>2714.19582543379</v>
      </c>
      <c r="N73" s="0" t="str">
        <f aca="false">IF(ISNUMBER(M73),IF(AND(H73&gt;=$B$7,G73/(F73*$B$9)&lt;$B$8),"croisière","fusée"),"N/A")</f>
        <v>croisière</v>
      </c>
      <c r="O73" s="32" t="n">
        <f aca="false">IF(N73="fusée",MIN(M73,IF(C73="Jeu de base",$B$4,$B$5)),IF(N73="croisière",$B$6*SQRT(G73),"N/A"))</f>
        <v>318</v>
      </c>
      <c r="P73" s="32" t="n">
        <f aca="false">IF(E73="propulsé",IF(ISNUMBER(O73),IF(AND(ISNUMBER(K73),ISNUMBER(L73)),MEDIAN(K73,L73,O73),IF(ISNUMBER(L73),L73,IF(ISNUMBER(K73),K73,O73))),IF(ISNUMBER(K73),K73,"N/A")),IF(E73="arme à feu",IF(ISNUMBER(J73),IF(ISNUMBER(K73),MIN(J73,K73),J73),"N/A"),"N/A"))</f>
        <v>309.722</v>
      </c>
      <c r="Q73" s="0" t="str">
        <f aca="false">IF(NOT(ISNUMBER(P73)),"aucune vitesse définie",IF(E73="arme à feu",IF(AND(ISNUMBER(K73),ISNUMBER(J73),K73&lt;J73),"vitesse max fixée (inférieure à la bouche)","vitesse initiale (bouche)"),IF(AND(ISNUMBER(K73),ISNUMBER(L73)),"médiane fichier / wiki / calcul",IF(ISNUMBER(L73),"wiki Delta-V",IF(ISNUMBER(K73),"vitesse fixée du fichier","calcul ("&amp;N73&amp;IF(AND(N73="fusée",M73&gt;O73),", plafonné","")&amp;")")))))</f>
        <v>wiki Delta-V</v>
      </c>
      <c r="R73" s="32" t="n">
        <f aca="false">IF(ISNUMBER(P73),IF(E73="arme à feu",IF($B$10=1,P73,"N/A"),P73),"N/A")</f>
        <v>309.722</v>
      </c>
      <c r="S73" s="33" t="n">
        <f aca="false">IF(ISNUMBER(R73),ROUND(1+9*(SUMPRODUCT(ISNUMBER($R$21:$R$153)*($R$21:$R$153&lt;=R73))-1)/(COUNT($R$21:$R$153)-1),1),"N/A")</f>
        <v>1.8</v>
      </c>
      <c r="T73" s="34" t="n">
        <v>7.5</v>
      </c>
    </row>
    <row r="74" customFormat="false" ht="15" hidden="false" customHeight="false" outlineLevel="0" collapsed="false">
      <c r="A74" s="0" t="str">
        <f aca="false">B74&amp;"|"&amp;C74</f>
        <v>ALM-C450|Jeu de base</v>
      </c>
      <c r="B74" s="0" t="s">
        <v>109</v>
      </c>
      <c r="C74" s="0" t="s">
        <v>36</v>
      </c>
      <c r="D74" s="0" t="s">
        <v>97</v>
      </c>
      <c r="E74" s="0" t="str">
        <f aca="false">IF(ISNUMBER(G74),"propulsé",IF(D74="Canon / mitrailleuse / lance-grenade","arme à feu","autre"))</f>
        <v>propulsé</v>
      </c>
      <c r="F74" s="27" t="n">
        <v>900</v>
      </c>
      <c r="G74" s="28" t="n">
        <v>4200</v>
      </c>
      <c r="H74" s="29" t="n">
        <v>600</v>
      </c>
      <c r="I74" s="27" t="n">
        <v>400</v>
      </c>
      <c r="J74" s="28"/>
      <c r="K74" s="30"/>
      <c r="L74" s="30" t="n">
        <v>344.722</v>
      </c>
      <c r="M74" s="31" t="n">
        <f aca="false">IF(AND(ISNUMBER(G74),ISNUMBER(H74),ISNUMBER(I74),ISNUMBER(F74)),IF(AND(G74&gt;0,H74&gt;0,I74&gt;0,F74&gt;I74),G74*H74/I74*LN(F74/(F74-I74)),"N/A"),"N/A")</f>
        <v>3703.05598888335</v>
      </c>
      <c r="N74" s="0" t="str">
        <f aca="false">IF(ISNUMBER(M74),IF(AND(H74&gt;=$B$7,G74/(F74*$B$9)&lt;$B$8),"croisière","fusée"),"N/A")</f>
        <v>croisière</v>
      </c>
      <c r="O74" s="32" t="n">
        <f aca="false">IF(N74="fusée",MIN(M74,IF(C74="Jeu de base",$B$4,$B$5)),IF(N74="croisière",$B$6*SQRT(G74),"N/A"))</f>
        <v>343.479257015617</v>
      </c>
      <c r="P74" s="32" t="n">
        <f aca="false">IF(E74="propulsé",IF(ISNUMBER(O74),IF(AND(ISNUMBER(K74),ISNUMBER(L74)),MEDIAN(K74,L74,O74),IF(ISNUMBER(L74),L74,IF(ISNUMBER(K74),K74,O74))),IF(ISNUMBER(K74),K74,"N/A")),IF(E74="arme à feu",IF(ISNUMBER(J74),IF(ISNUMBER(K74),MIN(J74,K74),J74),"N/A"),"N/A"))</f>
        <v>344.722</v>
      </c>
      <c r="Q74" s="0" t="str">
        <f aca="false">IF(NOT(ISNUMBER(P74)),"aucune vitesse définie",IF(E74="arme à feu",IF(AND(ISNUMBER(K74),ISNUMBER(J74),K74&lt;J74),"vitesse max fixée (inférieure à la bouche)","vitesse initiale (bouche)"),IF(AND(ISNUMBER(K74),ISNUMBER(L74)),"médiane fichier / wiki / calcul",IF(ISNUMBER(L74),"wiki Delta-V",IF(ISNUMBER(K74),"vitesse fixée du fichier","calcul ("&amp;N74&amp;IF(AND(N74="fusée",M74&gt;O74),", plafonné","")&amp;")")))))</f>
        <v>wiki Delta-V</v>
      </c>
      <c r="R74" s="32" t="n">
        <f aca="false">IF(ISNUMBER(P74),IF(E74="arme à feu",IF($B$10=1,P74,"N/A"),P74),"N/A")</f>
        <v>344.722</v>
      </c>
      <c r="S74" s="33" t="n">
        <f aca="false">IF(ISNUMBER(R74),ROUND(1+9*(SUMPRODUCT(ISNUMBER($R$21:$R$153)*($R$21:$R$153&lt;=R74))-1)/(COUNT($R$21:$R$153)-1),1),"N/A")</f>
        <v>1.9</v>
      </c>
      <c r="T74" s="34" t="n">
        <v>7.8</v>
      </c>
    </row>
    <row r="75" customFormat="false" ht="15" hidden="false" customHeight="false" outlineLevel="0" collapsed="false">
      <c r="A75" s="0" t="str">
        <f aca="false">B75&amp;"|"&amp;C75</f>
        <v>ARAD-116|Jeu de base</v>
      </c>
      <c r="B75" s="0" t="s">
        <v>111</v>
      </c>
      <c r="C75" s="0" t="s">
        <v>36</v>
      </c>
      <c r="D75" s="0" t="s">
        <v>97</v>
      </c>
      <c r="E75" s="0" t="str">
        <f aca="false">IF(ISNUMBER(G75),"propulsé",IF(D75="Canon / mitrailleuse / lance-grenade","arme à feu","autre"))</f>
        <v>propulsé</v>
      </c>
      <c r="F75" s="27" t="n">
        <v>400</v>
      </c>
      <c r="G75" s="28" t="n">
        <v>73000</v>
      </c>
      <c r="H75" s="29" t="n">
        <v>10</v>
      </c>
      <c r="I75" s="27" t="n">
        <v>150</v>
      </c>
      <c r="J75" s="28"/>
      <c r="K75" s="30"/>
      <c r="L75" s="30" t="n">
        <v>1011.389</v>
      </c>
      <c r="M75" s="31" t="n">
        <f aca="false">IF(AND(ISNUMBER(G75),ISNUMBER(H75),ISNUMBER(I75),ISNUMBER(F75)),IF(AND(G75&gt;0,H75&gt;0,I75&gt;0,F75&gt;I75),G75*H75/I75*LN(F75/(F75-I75)),"N/A"),"N/A")</f>
        <v>2287.35099566258</v>
      </c>
      <c r="N75" s="0" t="str">
        <f aca="false">IF(ISNUMBER(M75),IF(AND(H75&gt;=$B$7,G75/(F75*$B$9)&lt;$B$8),"croisière","fusée"),"N/A")</f>
        <v>fusée</v>
      </c>
      <c r="O75" s="32" t="n">
        <f aca="false">IF(N75="fusée",MIN(M75,IF(C75="Jeu de base",$B$4,$B$5)),IF(N75="croisière",$B$6*SQRT(G75),"N/A"))</f>
        <v>1250</v>
      </c>
      <c r="P75" s="32" t="n">
        <f aca="false">IF(E75="propulsé",IF(ISNUMBER(O75),IF(AND(ISNUMBER(K75),ISNUMBER(L75)),MEDIAN(K75,L75,O75),IF(ISNUMBER(L75),L75,IF(ISNUMBER(K75),K75,O75))),IF(ISNUMBER(K75),K75,"N/A")),IF(E75="arme à feu",IF(ISNUMBER(J75),IF(ISNUMBER(K75),MIN(J75,K75),J75),"N/A"),"N/A"))</f>
        <v>1011.389</v>
      </c>
      <c r="Q75" s="0" t="str">
        <f aca="false">IF(NOT(ISNUMBER(P75)),"aucune vitesse définie",IF(E75="arme à feu",IF(AND(ISNUMBER(K75),ISNUMBER(J75),K75&lt;J75),"vitesse max fixée (inférieure à la bouche)","vitesse initiale (bouche)"),IF(AND(ISNUMBER(K75),ISNUMBER(L75)),"médiane fichier / wiki / calcul",IF(ISNUMBER(L75),"wiki Delta-V",IF(ISNUMBER(K75),"vitesse fixée du fichier","calcul ("&amp;N75&amp;IF(AND(N75="fusée",M75&gt;O75),", plafonné","")&amp;")")))))</f>
        <v>wiki Delta-V</v>
      </c>
      <c r="R75" s="32" t="n">
        <f aca="false">IF(ISNUMBER(P75),IF(E75="arme à feu",IF($B$10=1,P75,"N/A"),P75),"N/A")</f>
        <v>1011.389</v>
      </c>
      <c r="S75" s="33" t="n">
        <f aca="false">IF(ISNUMBER(R75),ROUND(1+9*(SUMPRODUCT(ISNUMBER($R$21:$R$153)*($R$21:$R$153&lt;=R75))-1)/(COUNT($R$21:$R$153)-1),1),"N/A")</f>
        <v>5.5</v>
      </c>
      <c r="T75" s="34" t="n">
        <v>6.2</v>
      </c>
    </row>
    <row r="76" customFormat="false" ht="15" hidden="false" customHeight="false" outlineLevel="0" collapsed="false">
      <c r="A76" s="0" t="str">
        <f aca="false">B76&amp;"|"&amp;C76</f>
        <v>ARAD-45|Jeu de base</v>
      </c>
      <c r="B76" s="0" t="s">
        <v>114</v>
      </c>
      <c r="C76" s="0" t="s">
        <v>36</v>
      </c>
      <c r="D76" s="0" t="s">
        <v>97</v>
      </c>
      <c r="E76" s="0" t="str">
        <f aca="false">IF(ISNUMBER(G76),"propulsé",IF(D76="Canon / mitrailleuse / lance-grenade","arme à feu","autre"))</f>
        <v>propulsé</v>
      </c>
      <c r="F76" s="27" t="n">
        <v>180</v>
      </c>
      <c r="G76" s="28" t="n">
        <v>20000</v>
      </c>
      <c r="H76" s="29" t="n">
        <v>7</v>
      </c>
      <c r="I76" s="27" t="n">
        <v>68</v>
      </c>
      <c r="J76" s="28"/>
      <c r="K76" s="30" t="n">
        <v>1156.87</v>
      </c>
      <c r="L76" s="30"/>
      <c r="M76" s="31" t="n">
        <f aca="false">IF(AND(ISNUMBER(G76),ISNUMBER(H76),ISNUMBER(I76),ISNUMBER(F76)),IF(AND(G76&gt;0,H76&gt;0,I76&gt;0,F76&gt;I76),G76*H76/I76*LN(F76/(F76-I76)),"N/A"),"N/A")</f>
        <v>976.825252107592</v>
      </c>
      <c r="N76" s="0" t="str">
        <f aca="false">IF(ISNUMBER(M76),IF(AND(H76&gt;=$B$7,G76/(F76*$B$9)&lt;$B$8),"croisière","fusée"),"N/A")</f>
        <v>fusée</v>
      </c>
      <c r="O76" s="32" t="n">
        <f aca="false">IF(N76="fusée",MIN(M76,IF(C76="Jeu de base",$B$4,$B$5)),IF(N76="croisière",$B$6*SQRT(G76),"N/A"))</f>
        <v>976.825252107592</v>
      </c>
      <c r="P76" s="32" t="n">
        <f aca="false">IF(E76="propulsé",IF(ISNUMBER(O76),IF(AND(ISNUMBER(K76),ISNUMBER(L76)),MEDIAN(K76,L76,O76),IF(ISNUMBER(L76),L76,IF(ISNUMBER(K76),K76,O76))),IF(ISNUMBER(K76),K76,"N/A")),IF(E76="arme à feu",IF(ISNUMBER(J76),IF(ISNUMBER(K76),MIN(J76,K76),J76),"N/A"),"N/A"))</f>
        <v>1156.87</v>
      </c>
      <c r="Q76" s="0" t="str">
        <f aca="false">IF(NOT(ISNUMBER(P76)),"aucune vitesse définie",IF(E76="arme à feu",IF(AND(ISNUMBER(K76),ISNUMBER(J76),K76&lt;J76),"vitesse max fixée (inférieure à la bouche)","vitesse initiale (bouche)"),IF(AND(ISNUMBER(K76),ISNUMBER(L76)),"médiane fichier / wiki / calcul",IF(ISNUMBER(L76),"wiki Delta-V",IF(ISNUMBER(K76),"vitesse fixée du fichier","calcul ("&amp;N76&amp;IF(AND(N76="fusée",M76&gt;O76),", plafonné","")&amp;")")))))</f>
        <v>vitesse fixée du fichier</v>
      </c>
      <c r="R76" s="32" t="n">
        <f aca="false">IF(ISNUMBER(P76),IF(E76="arme à feu",IF($B$10=1,P76,"N/A"),P76),"N/A")</f>
        <v>1156.87</v>
      </c>
      <c r="S76" s="33" t="n">
        <f aca="false">IF(ISNUMBER(R76),ROUND(1+9*(SUMPRODUCT(ISNUMBER($R$21:$R$153)*($R$21:$R$153&lt;=R76))-1)/(COUNT($R$21:$R$153)-1),1),"N/A")</f>
        <v>7.3</v>
      </c>
      <c r="T76" s="34" t="n">
        <v>4.2</v>
      </c>
    </row>
    <row r="77" customFormat="false" ht="15" hidden="false" customHeight="false" outlineLevel="0" collapsed="false">
      <c r="A77" s="0" t="str">
        <f aca="false">B77&amp;"|"&amp;C77</f>
        <v>AShM-300|Jeu de base</v>
      </c>
      <c r="B77" s="0" t="s">
        <v>116</v>
      </c>
      <c r="C77" s="0" t="s">
        <v>36</v>
      </c>
      <c r="D77" s="0" t="s">
        <v>97</v>
      </c>
      <c r="E77" s="0" t="str">
        <f aca="false">IF(ISNUMBER(G77),"propulsé",IF(D77="Canon / mitrailleuse / lance-grenade","arme à feu","autre"))</f>
        <v>propulsé</v>
      </c>
      <c r="F77" s="27" t="n">
        <v>600</v>
      </c>
      <c r="G77" s="28" t="n">
        <v>5000</v>
      </c>
      <c r="H77" s="29" t="n">
        <v>600</v>
      </c>
      <c r="I77" s="27" t="n">
        <v>200</v>
      </c>
      <c r="J77" s="28"/>
      <c r="K77" s="30"/>
      <c r="L77" s="30" t="n">
        <v>426.667</v>
      </c>
      <c r="M77" s="31" t="n">
        <f aca="false">IF(AND(ISNUMBER(G77),ISNUMBER(H77),ISNUMBER(I77),ISNUMBER(F77)),IF(AND(G77&gt;0,H77&gt;0,I77&gt;0,F77&gt;I77),G77*H77/I77*LN(F77/(F77-I77)),"N/A"),"N/A")</f>
        <v>6081.97662162247</v>
      </c>
      <c r="N77" s="0" t="str">
        <f aca="false">IF(ISNUMBER(M77),IF(AND(H77&gt;=$B$7,G77/(F77*$B$9)&lt;$B$8),"croisière","fusée"),"N/A")</f>
        <v>croisière</v>
      </c>
      <c r="O77" s="32" t="n">
        <f aca="false">IF(N77="fusée",MIN(M77,IF(C77="Jeu de base",$B$4,$B$5)),IF(N77="croisière",$B$6*SQRT(G77),"N/A"))</f>
        <v>374.76659402887</v>
      </c>
      <c r="P77" s="32" t="n">
        <f aca="false">IF(E77="propulsé",IF(ISNUMBER(O77),IF(AND(ISNUMBER(K77),ISNUMBER(L77)),MEDIAN(K77,L77,O77),IF(ISNUMBER(L77),L77,IF(ISNUMBER(K77),K77,O77))),IF(ISNUMBER(K77),K77,"N/A")),IF(E77="arme à feu",IF(ISNUMBER(J77),IF(ISNUMBER(K77),MIN(J77,K77),J77),"N/A"),"N/A"))</f>
        <v>426.667</v>
      </c>
      <c r="Q77" s="0" t="str">
        <f aca="false">IF(NOT(ISNUMBER(P77)),"aucune vitesse définie",IF(E77="arme à feu",IF(AND(ISNUMBER(K77),ISNUMBER(J77),K77&lt;J77),"vitesse max fixée (inférieure à la bouche)","vitesse initiale (bouche)"),IF(AND(ISNUMBER(K77),ISNUMBER(L77)),"médiane fichier / wiki / calcul",IF(ISNUMBER(L77),"wiki Delta-V",IF(ISNUMBER(K77),"vitesse fixée du fichier","calcul ("&amp;N77&amp;IF(AND(N77="fusée",M77&gt;O77),", plafonné","")&amp;")")))))</f>
        <v>wiki Delta-V</v>
      </c>
      <c r="R77" s="32" t="n">
        <f aca="false">IF(ISNUMBER(P77),IF(E77="arme à feu",IF($B$10=1,P77,"N/A"),P77),"N/A")</f>
        <v>426.667</v>
      </c>
      <c r="S77" s="33" t="n">
        <f aca="false">IF(ISNUMBER(R77),ROUND(1+9*(SUMPRODUCT(ISNUMBER($R$21:$R$153)*($R$21:$R$153&lt;=R77))-1)/(COUNT($R$21:$R$153)-1),1),"N/A")</f>
        <v>2.4</v>
      </c>
      <c r="T77" s="34" t="n">
        <v>8.2</v>
      </c>
    </row>
    <row r="78" customFormat="false" ht="15" hidden="false" customHeight="false" outlineLevel="0" collapsed="false">
      <c r="A78" s="0" t="str">
        <f aca="false">B78&amp;"|"&amp;C78</f>
        <v>AT-145|Jeu de base</v>
      </c>
      <c r="B78" s="0" t="s">
        <v>118</v>
      </c>
      <c r="C78" s="0" t="s">
        <v>36</v>
      </c>
      <c r="D78" s="0" t="s">
        <v>97</v>
      </c>
      <c r="E78" s="0" t="str">
        <f aca="false">IF(ISNUMBER(G78),"propulsé",IF(D78="Canon / mitrailleuse / lance-grenade","arme à feu","autre"))</f>
        <v>propulsé</v>
      </c>
      <c r="F78" s="27" t="n">
        <v>20</v>
      </c>
      <c r="G78" s="28" t="n">
        <v>2400</v>
      </c>
      <c r="H78" s="29" t="n">
        <v>6</v>
      </c>
      <c r="I78" s="27" t="n">
        <v>10</v>
      </c>
      <c r="J78" s="28"/>
      <c r="K78" s="30" t="n">
        <v>252.16</v>
      </c>
      <c r="L78" s="30" t="n">
        <v>252.222</v>
      </c>
      <c r="M78" s="31" t="n">
        <f aca="false">IF(AND(ISNUMBER(G78),ISNUMBER(H78),ISNUMBER(I78),ISNUMBER(F78)),IF(AND(G78&gt;0,H78&gt;0,I78&gt;0,F78&gt;I78),G78*H78/I78*LN(F78/(F78-I78)),"N/A"),"N/A")</f>
        <v>998.131940006321</v>
      </c>
      <c r="N78" s="0" t="str">
        <f aca="false">IF(ISNUMBER(M78),IF(AND(H78&gt;=$B$7,G78/(F78*$B$9)&lt;$B$8),"croisière","fusée"),"N/A")</f>
        <v>fusée</v>
      </c>
      <c r="O78" s="32" t="n">
        <f aca="false">IF(N78="fusée",MIN(M78,IF(C78="Jeu de base",$B$4,$B$5)),IF(N78="croisière",$B$6*SQRT(G78),"N/A"))</f>
        <v>998.131940006321</v>
      </c>
      <c r="P78" s="32" t="n">
        <f aca="false">IF(E78="propulsé",IF(ISNUMBER(O78),IF(AND(ISNUMBER(K78),ISNUMBER(L78)),MEDIAN(K78,L78,O78),IF(ISNUMBER(L78),L78,IF(ISNUMBER(K78),K78,O78))),IF(ISNUMBER(K78),K78,"N/A")),IF(E78="arme à feu",IF(ISNUMBER(J78),IF(ISNUMBER(K78),MIN(J78,K78),J78),"N/A"),"N/A"))</f>
        <v>252.222</v>
      </c>
      <c r="Q78" s="0" t="str">
        <f aca="false">IF(NOT(ISNUMBER(P78)),"aucune vitesse définie",IF(E78="arme à feu",IF(AND(ISNUMBER(K78),ISNUMBER(J78),K78&lt;J78),"vitesse max fixée (inférieure à la bouche)","vitesse initiale (bouche)"),IF(AND(ISNUMBER(K78),ISNUMBER(L78)),"médiane fichier / wiki / calcul",IF(ISNUMBER(L78),"wiki Delta-V",IF(ISNUMBER(K78),"vitesse fixée du fichier","calcul ("&amp;N78&amp;IF(AND(N78="fusée",M78&gt;O78),", plafonné","")&amp;")")))))</f>
        <v>médiane fichier / wiki / calcul</v>
      </c>
      <c r="R78" s="32" t="n">
        <f aca="false">IF(ISNUMBER(P78),IF(E78="arme à feu",IF($B$10=1,P78,"N/A"),P78),"N/A")</f>
        <v>252.222</v>
      </c>
      <c r="S78" s="33" t="n">
        <f aca="false">IF(ISNUMBER(R78),ROUND(1+9*(SUMPRODUCT(ISNUMBER($R$21:$R$153)*($R$21:$R$153&lt;=R78))-1)/(COUNT($R$21:$R$153)-1),1),"N/A")</f>
        <v>1.4</v>
      </c>
      <c r="T78" s="34" t="n">
        <v>3.7</v>
      </c>
    </row>
    <row r="79" customFormat="false" ht="15" hidden="false" customHeight="false" outlineLevel="0" collapsed="false">
      <c r="A79" s="0" t="str">
        <f aca="false">B79&amp;"|"&amp;C79</f>
        <v>ATP-1|Jeu de base</v>
      </c>
      <c r="B79" s="0" t="s">
        <v>120</v>
      </c>
      <c r="C79" s="0" t="s">
        <v>36</v>
      </c>
      <c r="D79" s="0" t="s">
        <v>97</v>
      </c>
      <c r="E79" s="0" t="str">
        <f aca="false">IF(ISNUMBER(G79),"propulsé",IF(D79="Canon / mitrailleuse / lance-grenade","arme à feu","autre"))</f>
        <v>propulsé</v>
      </c>
      <c r="F79" s="27" t="n">
        <v>45</v>
      </c>
      <c r="G79" s="28" t="n">
        <v>5000</v>
      </c>
      <c r="H79" s="29" t="n">
        <v>2.2</v>
      </c>
      <c r="I79" s="27" t="n">
        <v>15</v>
      </c>
      <c r="J79" s="28"/>
      <c r="K79" s="30"/>
      <c r="L79" s="30" t="n">
        <v>297.222</v>
      </c>
      <c r="M79" s="31" t="n">
        <f aca="false">IF(AND(ISNUMBER(G79),ISNUMBER(H79),ISNUMBER(I79),ISNUMBER(F79)),IF(AND(G79&gt;0,H79&gt;0,I79&gt;0,F79&gt;I79),G79*H79/I79*LN(F79/(F79-I79)),"N/A"),"N/A")</f>
        <v>297.341079279321</v>
      </c>
      <c r="N79" s="0" t="str">
        <f aca="false">IF(ISNUMBER(M79),IF(AND(H79&gt;=$B$7,G79/(F79*$B$9)&lt;$B$8),"croisière","fusée"),"N/A")</f>
        <v>fusée</v>
      </c>
      <c r="O79" s="32" t="n">
        <f aca="false">IF(N79="fusée",MIN(M79,IF(C79="Jeu de base",$B$4,$B$5)),IF(N79="croisière",$B$6*SQRT(G79),"N/A"))</f>
        <v>297.341079279321</v>
      </c>
      <c r="P79" s="32" t="n">
        <f aca="false">IF(E79="propulsé",IF(ISNUMBER(O79),IF(AND(ISNUMBER(K79),ISNUMBER(L79)),MEDIAN(K79,L79,O79),IF(ISNUMBER(L79),L79,IF(ISNUMBER(K79),K79,O79))),IF(ISNUMBER(K79),K79,"N/A")),IF(E79="arme à feu",IF(ISNUMBER(J79),IF(ISNUMBER(K79),MIN(J79,K79),J79),"N/A"),"N/A"))</f>
        <v>297.222</v>
      </c>
      <c r="Q79" s="0" t="str">
        <f aca="false">IF(NOT(ISNUMBER(P79)),"aucune vitesse définie",IF(E79="arme à feu",IF(AND(ISNUMBER(K79),ISNUMBER(J79),K79&lt;J79),"vitesse max fixée (inférieure à la bouche)","vitesse initiale (bouche)"),IF(AND(ISNUMBER(K79),ISNUMBER(L79)),"médiane fichier / wiki / calcul",IF(ISNUMBER(L79),"wiki Delta-V",IF(ISNUMBER(K79),"vitesse fixée du fichier","calcul ("&amp;N79&amp;IF(AND(N79="fusée",M79&gt;O79),", plafonné","")&amp;")")))))</f>
        <v>wiki Delta-V</v>
      </c>
      <c r="R79" s="32" t="n">
        <f aca="false">IF(ISNUMBER(P79),IF(E79="arme à feu",IF($B$10=1,P79,"N/A"),P79),"N/A")</f>
        <v>297.222</v>
      </c>
      <c r="S79" s="33" t="n">
        <f aca="false">IF(ISNUMBER(R79),ROUND(1+9*(SUMPRODUCT(ISNUMBER($R$21:$R$153)*($R$21:$R$153&lt;=R79))-1)/(COUNT($R$21:$R$153)-1),1),"N/A")</f>
        <v>1.6</v>
      </c>
      <c r="T79" s="34" t="n">
        <v>1</v>
      </c>
    </row>
    <row r="80" customFormat="false" ht="15" hidden="false" customHeight="false" outlineLevel="0" collapsed="false">
      <c r="A80" s="0" t="str">
        <f aca="false">B80&amp;"|"&amp;C80</f>
        <v>Eyeball Mk.II|Jeu de base</v>
      </c>
      <c r="B80" s="0" t="s">
        <v>122</v>
      </c>
      <c r="C80" s="0" t="s">
        <v>36</v>
      </c>
      <c r="D80" s="0" t="s">
        <v>97</v>
      </c>
      <c r="E80" s="0" t="str">
        <f aca="false">IF(ISNUMBER(G80),"propulsé",IF(D80="Canon / mitrailleuse / lance-grenade","arme à feu","autre"))</f>
        <v>propulsé</v>
      </c>
      <c r="F80" s="27" t="n">
        <v>50</v>
      </c>
      <c r="G80" s="28" t="n">
        <v>4000</v>
      </c>
      <c r="H80" s="29" t="n">
        <v>3.5</v>
      </c>
      <c r="I80" s="27" t="n">
        <v>20</v>
      </c>
      <c r="J80" s="28"/>
      <c r="K80" s="30"/>
      <c r="L80" s="30" t="n">
        <v>350</v>
      </c>
      <c r="M80" s="31" t="n">
        <f aca="false">IF(AND(ISNUMBER(G80),ISNUMBER(H80),ISNUMBER(I80),ISNUMBER(F80)),IF(AND(G80&gt;0,H80&gt;0,I80&gt;0,F80&gt;I80),G80*H80/I80*LN(F80/(F80-I80)),"N/A"),"N/A")</f>
        <v>357.577936636194</v>
      </c>
      <c r="N80" s="0" t="str">
        <f aca="false">IF(ISNUMBER(M80),IF(AND(H80&gt;=$B$7,G80/(F80*$B$9)&lt;$B$8),"croisière","fusée"),"N/A")</f>
        <v>fusée</v>
      </c>
      <c r="O80" s="32" t="n">
        <f aca="false">IF(N80="fusée",MIN(M80,IF(C80="Jeu de base",$B$4,$B$5)),IF(N80="croisière",$B$6*SQRT(G80),"N/A"))</f>
        <v>357.577936636194</v>
      </c>
      <c r="P80" s="32" t="n">
        <f aca="false">IF(E80="propulsé",IF(ISNUMBER(O80),IF(AND(ISNUMBER(K80),ISNUMBER(L80)),MEDIAN(K80,L80,O80),IF(ISNUMBER(L80),L80,IF(ISNUMBER(K80),K80,O80))),IF(ISNUMBER(K80),K80,"N/A")),IF(E80="arme à feu",IF(ISNUMBER(J80),IF(ISNUMBER(K80),MIN(J80,K80),J80),"N/A"),"N/A"))</f>
        <v>350</v>
      </c>
      <c r="Q80" s="0" t="str">
        <f aca="false">IF(NOT(ISNUMBER(P80)),"aucune vitesse définie",IF(E80="arme à feu",IF(AND(ISNUMBER(K80),ISNUMBER(J80),K80&lt;J80),"vitesse max fixée (inférieure à la bouche)","vitesse initiale (bouche)"),IF(AND(ISNUMBER(K80),ISNUMBER(L80)),"médiane fichier / wiki / calcul",IF(ISNUMBER(L80),"wiki Delta-V",IF(ISNUMBER(K80),"vitesse fixée du fichier","calcul ("&amp;N80&amp;IF(AND(N80="fusée",M80&gt;O80),", plafonné","")&amp;")")))))</f>
        <v>wiki Delta-V</v>
      </c>
      <c r="R80" s="32" t="n">
        <f aca="false">IF(ISNUMBER(P80),IF(E80="arme à feu",IF($B$10=1,P80,"N/A"),P80),"N/A")</f>
        <v>350</v>
      </c>
      <c r="S80" s="33" t="n">
        <f aca="false">IF(ISNUMBER(R80),ROUND(1+9*(SUMPRODUCT(ISNUMBER($R$21:$R$153)*($R$21:$R$153&lt;=R80))-1)/(COUNT($R$21:$R$153)-1),1),"N/A")</f>
        <v>2</v>
      </c>
      <c r="T80" s="34" t="n">
        <v>1.2</v>
      </c>
    </row>
    <row r="81" customFormat="false" ht="15" hidden="false" customHeight="false" outlineLevel="0" collapsed="false">
      <c r="A81" s="0" t="str">
        <f aca="false">B81&amp;"|"&amp;C81</f>
        <v>IRM-S1|Jeu de base</v>
      </c>
      <c r="B81" s="0" t="s">
        <v>124</v>
      </c>
      <c r="C81" s="0" t="s">
        <v>36</v>
      </c>
      <c r="D81" s="0" t="s">
        <v>97</v>
      </c>
      <c r="E81" s="0" t="str">
        <f aca="false">IF(ISNUMBER(G81),"propulsé",IF(D81="Canon / mitrailleuse / lance-grenade","arme à feu","autre"))</f>
        <v>propulsé</v>
      </c>
      <c r="F81" s="27" t="n">
        <v>10</v>
      </c>
      <c r="G81" s="28" t="n">
        <v>2750</v>
      </c>
      <c r="H81" s="29" t="n">
        <v>2</v>
      </c>
      <c r="I81" s="27" t="n">
        <v>4</v>
      </c>
      <c r="J81" s="28"/>
      <c r="K81" s="30"/>
      <c r="L81" s="30" t="n">
        <v>702.5</v>
      </c>
      <c r="M81" s="31" t="n">
        <f aca="false">IF(AND(ISNUMBER(G81),ISNUMBER(H81),ISNUMBER(I81),ISNUMBER(F81)),IF(AND(G81&gt;0,H81&gt;0,I81&gt;0,F81&gt;I81),G81*H81/I81*LN(F81/(F81-I81)),"N/A"),"N/A")</f>
        <v>702.385232678237</v>
      </c>
      <c r="N81" s="0" t="str">
        <f aca="false">IF(ISNUMBER(M81),IF(AND(H81&gt;=$B$7,G81/(F81*$B$9)&lt;$B$8),"croisière","fusée"),"N/A")</f>
        <v>fusée</v>
      </c>
      <c r="O81" s="32" t="n">
        <f aca="false">IF(N81="fusée",MIN(M81,IF(C81="Jeu de base",$B$4,$B$5)),IF(N81="croisière",$B$6*SQRT(G81),"N/A"))</f>
        <v>702.385232678237</v>
      </c>
      <c r="P81" s="32" t="n">
        <f aca="false">IF(E81="propulsé",IF(ISNUMBER(O81),IF(AND(ISNUMBER(K81),ISNUMBER(L81)),MEDIAN(K81,L81,O81),IF(ISNUMBER(L81),L81,IF(ISNUMBER(K81),K81,O81))),IF(ISNUMBER(K81),K81,"N/A")),IF(E81="arme à feu",IF(ISNUMBER(J81),IF(ISNUMBER(K81),MIN(J81,K81),J81),"N/A"),"N/A"))</f>
        <v>702.5</v>
      </c>
      <c r="Q81" s="0" t="str">
        <f aca="false">IF(NOT(ISNUMBER(P81)),"aucune vitesse définie",IF(E81="arme à feu",IF(AND(ISNUMBER(K81),ISNUMBER(J81),K81&lt;J81),"vitesse max fixée (inférieure à la bouche)","vitesse initiale (bouche)"),IF(AND(ISNUMBER(K81),ISNUMBER(L81)),"médiane fichier / wiki / calcul",IF(ISNUMBER(L81),"wiki Delta-V",IF(ISNUMBER(K81),"vitesse fixée du fichier","calcul ("&amp;N81&amp;IF(AND(N81="fusée",M81&gt;O81),", plafonné","")&amp;")")))))</f>
        <v>wiki Delta-V</v>
      </c>
      <c r="R81" s="32" t="n">
        <f aca="false">IF(ISNUMBER(P81),IF(E81="arme à feu",IF($B$10=1,P81,"N/A"),P81),"N/A")</f>
        <v>702.5</v>
      </c>
      <c r="S81" s="33" t="n">
        <f aca="false">IF(ISNUMBER(R81),ROUND(1+9*(SUMPRODUCT(ISNUMBER($R$21:$R$153)*($R$21:$R$153&lt;=R81))-1)/(COUNT($R$21:$R$153)-1),1),"N/A")</f>
        <v>2.7</v>
      </c>
      <c r="T81" s="34" t="n">
        <v>2.1</v>
      </c>
    </row>
    <row r="82" customFormat="false" ht="15" hidden="false" customHeight="false" outlineLevel="0" collapsed="false">
      <c r="A82" s="0" t="str">
        <f aca="false">B82&amp;"|"&amp;C82</f>
        <v>IRM-S2|Jeu de base</v>
      </c>
      <c r="B82" s="0" t="s">
        <v>126</v>
      </c>
      <c r="C82" s="0" t="s">
        <v>36</v>
      </c>
      <c r="D82" s="0" t="s">
        <v>97</v>
      </c>
      <c r="E82" s="0" t="str">
        <f aca="false">IF(ISNUMBER(G82),"propulsé",IF(D82="Canon / mitrailleuse / lance-grenade","arme à feu","autre"))</f>
        <v>propulsé</v>
      </c>
      <c r="F82" s="27" t="n">
        <v>60</v>
      </c>
      <c r="G82" s="28" t="n">
        <v>18000</v>
      </c>
      <c r="H82" s="29" t="n">
        <v>2</v>
      </c>
      <c r="I82" s="27" t="n">
        <v>25</v>
      </c>
      <c r="J82" s="28"/>
      <c r="K82" s="30"/>
      <c r="L82" s="30" t="n">
        <v>776.111</v>
      </c>
      <c r="M82" s="31" t="n">
        <f aca="false">IF(AND(ISNUMBER(G82),ISNUMBER(H82),ISNUMBER(I82),ISNUMBER(F82)),IF(AND(G82&gt;0,H82&gt;0,I82&gt;0,F82&gt;I82),G82*H82/I82*LN(F82/(F82-I82)),"N/A"),"N/A")</f>
        <v>776.154961055069</v>
      </c>
      <c r="N82" s="0" t="str">
        <f aca="false">IF(ISNUMBER(M82),IF(AND(H82&gt;=$B$7,G82/(F82*$B$9)&lt;$B$8),"croisière","fusée"),"N/A")</f>
        <v>fusée</v>
      </c>
      <c r="O82" s="32" t="n">
        <f aca="false">IF(N82="fusée",MIN(M82,IF(C82="Jeu de base",$B$4,$B$5)),IF(N82="croisière",$B$6*SQRT(G82),"N/A"))</f>
        <v>776.154961055069</v>
      </c>
      <c r="P82" s="32" t="n">
        <f aca="false">IF(E82="propulsé",IF(ISNUMBER(O82),IF(AND(ISNUMBER(K82),ISNUMBER(L82)),MEDIAN(K82,L82,O82),IF(ISNUMBER(L82),L82,IF(ISNUMBER(K82),K82,O82))),IF(ISNUMBER(K82),K82,"N/A")),IF(E82="arme à feu",IF(ISNUMBER(J82),IF(ISNUMBER(K82),MIN(J82,K82),J82),"N/A"),"N/A"))</f>
        <v>776.111</v>
      </c>
      <c r="Q82" s="0" t="str">
        <f aca="false">IF(NOT(ISNUMBER(P82)),"aucune vitesse définie",IF(E82="arme à feu",IF(AND(ISNUMBER(K82),ISNUMBER(J82),K82&lt;J82),"vitesse max fixée (inférieure à la bouche)","vitesse initiale (bouche)"),IF(AND(ISNUMBER(K82),ISNUMBER(L82)),"médiane fichier / wiki / calcul",IF(ISNUMBER(L82),"wiki Delta-V",IF(ISNUMBER(K82),"vitesse fixée du fichier","calcul ("&amp;N82&amp;IF(AND(N82="fusée",M82&gt;O82),", plafonné","")&amp;")")))))</f>
        <v>wiki Delta-V</v>
      </c>
      <c r="R82" s="32" t="n">
        <f aca="false">IF(ISNUMBER(P82),IF(E82="arme à feu",IF($B$10=1,P82,"N/A"),P82),"N/A")</f>
        <v>776.111</v>
      </c>
      <c r="S82" s="33" t="n">
        <f aca="false">IF(ISNUMBER(R82),ROUND(1+9*(SUMPRODUCT(ISNUMBER($R$21:$R$153)*($R$21:$R$153&lt;=R82))-1)/(COUNT($R$21:$R$153)-1),1),"N/A")</f>
        <v>3.1</v>
      </c>
      <c r="T82" s="34" t="n">
        <v>2.6</v>
      </c>
    </row>
    <row r="83" customFormat="false" ht="15" hidden="false" customHeight="false" outlineLevel="0" collapsed="false">
      <c r="A83" s="0" t="str">
        <f aca="false">B83&amp;"|"&amp;C83</f>
        <v>MMR-S3|Jeu de base</v>
      </c>
      <c r="B83" s="0" t="s">
        <v>127</v>
      </c>
      <c r="C83" s="0" t="s">
        <v>36</v>
      </c>
      <c r="D83" s="0" t="s">
        <v>97</v>
      </c>
      <c r="E83" s="0" t="str">
        <f aca="false">IF(ISNUMBER(G83),"propulsé",IF(D83="Canon / mitrailleuse / lance-grenade","arme à feu","autre"))</f>
        <v>propulsé</v>
      </c>
      <c r="F83" s="27" t="n">
        <v>100</v>
      </c>
      <c r="G83" s="28" t="n">
        <v>28000</v>
      </c>
      <c r="H83" s="29" t="n">
        <v>2.2</v>
      </c>
      <c r="I83" s="27" t="n">
        <v>40</v>
      </c>
      <c r="J83" s="28"/>
      <c r="K83" s="30"/>
      <c r="L83" s="30" t="n">
        <v>786.667</v>
      </c>
      <c r="M83" s="31" t="n">
        <f aca="false">IF(AND(ISNUMBER(G83),ISNUMBER(H83),ISNUMBER(I83),ISNUMBER(F83)),IF(AND(G83&gt;0,H83&gt;0,I83&gt;0,F83&gt;I83),G83*H83/I83*LN(F83/(F83-I83)),"N/A"),"N/A")</f>
        <v>786.671460599626</v>
      </c>
      <c r="N83" s="0" t="str">
        <f aca="false">IF(ISNUMBER(M83),IF(AND(H83&gt;=$B$7,G83/(F83*$B$9)&lt;$B$8),"croisière","fusée"),"N/A")</f>
        <v>fusée</v>
      </c>
      <c r="O83" s="32" t="n">
        <f aca="false">IF(N83="fusée",MIN(M83,IF(C83="Jeu de base",$B$4,$B$5)),IF(N83="croisière",$B$6*SQRT(G83),"N/A"))</f>
        <v>786.671460599626</v>
      </c>
      <c r="P83" s="32" t="n">
        <f aca="false">IF(E83="propulsé",IF(ISNUMBER(O83),IF(AND(ISNUMBER(K83),ISNUMBER(L83)),MEDIAN(K83,L83,O83),IF(ISNUMBER(L83),L83,IF(ISNUMBER(K83),K83,O83))),IF(ISNUMBER(K83),K83,"N/A")),IF(E83="arme à feu",IF(ISNUMBER(J83),IF(ISNUMBER(K83),MIN(J83,K83),J83),"N/A"),"N/A"))</f>
        <v>786.667</v>
      </c>
      <c r="Q83" s="0" t="str">
        <f aca="false">IF(NOT(ISNUMBER(P83)),"aucune vitesse définie",IF(E83="arme à feu",IF(AND(ISNUMBER(K83),ISNUMBER(J83),K83&lt;J83),"vitesse max fixée (inférieure à la bouche)","vitesse initiale (bouche)"),IF(AND(ISNUMBER(K83),ISNUMBER(L83)),"médiane fichier / wiki / calcul",IF(ISNUMBER(L83),"wiki Delta-V",IF(ISNUMBER(K83),"vitesse fixée du fichier","calcul ("&amp;N83&amp;IF(AND(N83="fusée",M83&gt;O83),", plafonné","")&amp;")")))))</f>
        <v>wiki Delta-V</v>
      </c>
      <c r="R83" s="32" t="n">
        <f aca="false">IF(ISNUMBER(P83),IF(E83="arme à feu",IF($B$10=1,P83,"N/A"),P83),"N/A")</f>
        <v>786.667</v>
      </c>
      <c r="S83" s="33" t="n">
        <f aca="false">IF(ISNUMBER(R83),ROUND(1+9*(SUMPRODUCT(ISNUMBER($R$21:$R$153)*($R$21:$R$153&lt;=R83))-1)/(COUNT($R$21:$R$153)-1),1),"N/A")</f>
        <v>3.2</v>
      </c>
      <c r="T83" s="34" t="n">
        <v>2.8</v>
      </c>
    </row>
    <row r="84" customFormat="false" ht="15" hidden="false" customHeight="false" outlineLevel="0" collapsed="false">
      <c r="A84" s="0" t="str">
        <f aca="false">B84&amp;"|"&amp;C84</f>
        <v>NL-98|Jeu de base</v>
      </c>
      <c r="B84" s="0" t="s">
        <v>128</v>
      </c>
      <c r="C84" s="0" t="s">
        <v>36</v>
      </c>
      <c r="D84" s="0" t="s">
        <v>97</v>
      </c>
      <c r="E84" s="0" t="str">
        <f aca="false">IF(ISNUMBER(G84),"propulsé",IF(D84="Canon / mitrailleuse / lance-grenade","arme à feu","autre"))</f>
        <v>propulsé</v>
      </c>
      <c r="F84" s="27" t="n">
        <v>210</v>
      </c>
      <c r="G84" s="28" t="n">
        <v>49500</v>
      </c>
      <c r="H84" s="29" t="n">
        <v>8</v>
      </c>
      <c r="I84" s="27" t="n">
        <v>60</v>
      </c>
      <c r="J84" s="28"/>
      <c r="K84" s="30"/>
      <c r="L84" s="30" t="n">
        <v>1256.389</v>
      </c>
      <c r="M84" s="31" t="n">
        <f aca="false">IF(AND(ISNUMBER(G84),ISNUMBER(H84),ISNUMBER(I84),ISNUMBER(F84)),IF(AND(G84&gt;0,H84&gt;0,I84&gt;0,F84&gt;I84),G84*H84/I84*LN(F84/(F84-I84)),"N/A"),"N/A")</f>
        <v>2220.71676170001</v>
      </c>
      <c r="N84" s="0" t="str">
        <f aca="false">IF(ISNUMBER(M84),IF(AND(H84&gt;=$B$7,G84/(F84*$B$9)&lt;$B$8),"croisière","fusée"),"N/A")</f>
        <v>fusée</v>
      </c>
      <c r="O84" s="32" t="n">
        <f aca="false">IF(N84="fusée",MIN(M84,IF(C84="Jeu de base",$B$4,$B$5)),IF(N84="croisière",$B$6*SQRT(G84),"N/A"))</f>
        <v>1250</v>
      </c>
      <c r="P84" s="32" t="n">
        <f aca="false">IF(E84="propulsé",IF(ISNUMBER(O84),IF(AND(ISNUMBER(K84),ISNUMBER(L84)),MEDIAN(K84,L84,O84),IF(ISNUMBER(L84),L84,IF(ISNUMBER(K84),K84,O84))),IF(ISNUMBER(K84),K84,"N/A")),IF(E84="arme à feu",IF(ISNUMBER(J84),IF(ISNUMBER(K84),MIN(J84,K84),J84),"N/A"),"N/A"))</f>
        <v>1256.389</v>
      </c>
      <c r="Q84" s="0" t="str">
        <f aca="false">IF(NOT(ISNUMBER(P84)),"aucune vitesse définie",IF(E84="arme à feu",IF(AND(ISNUMBER(K84),ISNUMBER(J84),K84&lt;J84),"vitesse max fixée (inférieure à la bouche)","vitesse initiale (bouche)"),IF(AND(ISNUMBER(K84),ISNUMBER(L84)),"médiane fichier / wiki / calcul",IF(ISNUMBER(L84),"wiki Delta-V",IF(ISNUMBER(K84),"vitesse fixée du fichier","calcul ("&amp;N84&amp;IF(AND(N84="fusée",M84&gt;O84),", plafonné","")&amp;")")))))</f>
        <v>wiki Delta-V</v>
      </c>
      <c r="R84" s="32" t="n">
        <f aca="false">IF(ISNUMBER(P84),IF(E84="arme à feu",IF($B$10=1,P84,"N/A"),P84),"N/A")</f>
        <v>1256.389</v>
      </c>
      <c r="S84" s="33" t="n">
        <f aca="false">IF(ISNUMBER(R84),ROUND(1+9*(SUMPRODUCT(ISNUMBER($R$21:$R$153)*($R$21:$R$153&lt;=R84))-1)/(COUNT($R$21:$R$153)-1),1),"N/A")</f>
        <v>8.2</v>
      </c>
      <c r="T84" s="34" t="n">
        <v>6.4</v>
      </c>
    </row>
    <row r="85" customFormat="false" ht="15" hidden="false" customHeight="false" outlineLevel="0" collapsed="false">
      <c r="A85" s="0" t="str">
        <f aca="false">B85&amp;"|"&amp;C85</f>
        <v>Piledriver TBM|Jeu de base</v>
      </c>
      <c r="B85" s="0" t="s">
        <v>130</v>
      </c>
      <c r="C85" s="0" t="s">
        <v>36</v>
      </c>
      <c r="D85" s="0" t="s">
        <v>97</v>
      </c>
      <c r="E85" s="0" t="str">
        <f aca="false">IF(ISNUMBER(G85),"propulsé",IF(D85="Canon / mitrailleuse / lance-grenade","arme à feu","autre"))</f>
        <v>propulsé</v>
      </c>
      <c r="F85" s="27" t="n">
        <v>2500</v>
      </c>
      <c r="G85" s="28" t="n">
        <v>70000</v>
      </c>
      <c r="H85" s="29" t="n">
        <v>40</v>
      </c>
      <c r="I85" s="27" t="n">
        <v>1000</v>
      </c>
      <c r="J85" s="28"/>
      <c r="K85" s="30" t="n">
        <v>1430.31</v>
      </c>
      <c r="L85" s="30" t="n">
        <v>1430.278</v>
      </c>
      <c r="M85" s="31" t="n">
        <f aca="false">IF(AND(ISNUMBER(G85),ISNUMBER(H85),ISNUMBER(I85),ISNUMBER(F85)),IF(AND(G85&gt;0,H85&gt;0,I85&gt;0,F85&gt;I85),G85*H85/I85*LN(F85/(F85-I85)),"N/A"),"N/A")</f>
        <v>1430.31174654477</v>
      </c>
      <c r="N85" s="0" t="str">
        <f aca="false">IF(ISNUMBER(M85),IF(AND(H85&gt;=$B$7,G85/(F85*$B$9)&lt;$B$8),"croisière","fusée"),"N/A")</f>
        <v>fusée</v>
      </c>
      <c r="O85" s="32" t="n">
        <f aca="false">IF(N85="fusée",MIN(M85,IF(C85="Jeu de base",$B$4,$B$5)),IF(N85="croisière",$B$6*SQRT(G85),"N/A"))</f>
        <v>1250</v>
      </c>
      <c r="P85" s="32" t="n">
        <f aca="false">IF(E85="propulsé",IF(ISNUMBER(O85),IF(AND(ISNUMBER(K85),ISNUMBER(L85)),MEDIAN(K85,L85,O85),IF(ISNUMBER(L85),L85,IF(ISNUMBER(K85),K85,O85))),IF(ISNUMBER(K85),K85,"N/A")),IF(E85="arme à feu",IF(ISNUMBER(J85),IF(ISNUMBER(K85),MIN(J85,K85),J85),"N/A"),"N/A"))</f>
        <v>1430.278</v>
      </c>
      <c r="Q85" s="0" t="str">
        <f aca="false">IF(NOT(ISNUMBER(P85)),"aucune vitesse définie",IF(E85="arme à feu",IF(AND(ISNUMBER(K85),ISNUMBER(J85),K85&lt;J85),"vitesse max fixée (inférieure à la bouche)","vitesse initiale (bouche)"),IF(AND(ISNUMBER(K85),ISNUMBER(L85)),"médiane fichier / wiki / calcul",IF(ISNUMBER(L85),"wiki Delta-V",IF(ISNUMBER(K85),"vitesse fixée du fichier","calcul ("&amp;N85&amp;IF(AND(N85="fusée",M85&gt;O85),", plafonné","")&amp;")")))))</f>
        <v>médiane fichier / wiki / calcul</v>
      </c>
      <c r="R85" s="32" t="n">
        <f aca="false">IF(ISNUMBER(P85),IF(E85="arme à feu",IF($B$10=1,P85,"N/A"),P85),"N/A")</f>
        <v>1430.278</v>
      </c>
      <c r="S85" s="33" t="n">
        <f aca="false">IF(ISNUMBER(R85),ROUND(1+9*(SUMPRODUCT(ISNUMBER($R$21:$R$153)*($R$21:$R$153&lt;=R85))-1)/(COUNT($R$21:$R$153)-1),1),"N/A")</f>
        <v>8.6</v>
      </c>
      <c r="T85" s="34" t="n">
        <v>5.3</v>
      </c>
    </row>
    <row r="86" customFormat="false" ht="15" hidden="false" customHeight="false" outlineLevel="0" collapsed="false">
      <c r="A86" s="0" t="str">
        <f aca="false">B86&amp;"|"&amp;C86</f>
        <v>RAM-45|Jeu de base</v>
      </c>
      <c r="B86" s="0" t="s">
        <v>132</v>
      </c>
      <c r="C86" s="0" t="s">
        <v>36</v>
      </c>
      <c r="D86" s="0" t="s">
        <v>97</v>
      </c>
      <c r="E86" s="0" t="str">
        <f aca="false">IF(ISNUMBER(G86),"propulsé",IF(D86="Canon / mitrailleuse / lance-grenade","arme à feu","autre"))</f>
        <v>propulsé</v>
      </c>
      <c r="F86" s="27" t="n">
        <v>170</v>
      </c>
      <c r="G86" s="28" t="n">
        <v>22000.1</v>
      </c>
      <c r="H86" s="29" t="n">
        <v>7</v>
      </c>
      <c r="I86" s="27" t="n">
        <v>68.01</v>
      </c>
      <c r="J86" s="28"/>
      <c r="K86" s="30" t="n">
        <v>1156.96</v>
      </c>
      <c r="L86" s="30" t="n">
        <v>1156.944</v>
      </c>
      <c r="M86" s="31" t="n">
        <f aca="false">IF(AND(ISNUMBER(G86),ISNUMBER(H86),ISNUMBER(I86),ISNUMBER(F86)),IF(AND(G86&gt;0,H86&gt;0,I86&gt;0,F86&gt;I86),G86*H86/I86*LN(F86/(F86-I86)),"N/A"),"N/A")</f>
        <v>1156.92695906329</v>
      </c>
      <c r="N86" s="0" t="str">
        <f aca="false">IF(ISNUMBER(M86),IF(AND(H86&gt;=$B$7,G86/(F86*$B$9)&lt;$B$8),"croisière","fusée"),"N/A")</f>
        <v>fusée</v>
      </c>
      <c r="O86" s="32" t="n">
        <f aca="false">IF(N86="fusée",MIN(M86,IF(C86="Jeu de base",$B$4,$B$5)),IF(N86="croisière",$B$6*SQRT(G86),"N/A"))</f>
        <v>1156.92695906329</v>
      </c>
      <c r="P86" s="32" t="n">
        <f aca="false">IF(E86="propulsé",IF(ISNUMBER(O86),IF(AND(ISNUMBER(K86),ISNUMBER(L86)),MEDIAN(K86,L86,O86),IF(ISNUMBER(L86),L86,IF(ISNUMBER(K86),K86,O86))),IF(ISNUMBER(K86),K86,"N/A")),IF(E86="arme à feu",IF(ISNUMBER(J86),IF(ISNUMBER(K86),MIN(J86,K86),J86),"N/A"),"N/A"))</f>
        <v>1156.944</v>
      </c>
      <c r="Q86" s="0" t="str">
        <f aca="false">IF(NOT(ISNUMBER(P86)),"aucune vitesse définie",IF(E86="arme à feu",IF(AND(ISNUMBER(K86),ISNUMBER(J86),K86&lt;J86),"vitesse max fixée (inférieure à la bouche)","vitesse initiale (bouche)"),IF(AND(ISNUMBER(K86),ISNUMBER(L86)),"médiane fichier / wiki / calcul",IF(ISNUMBER(L86),"wiki Delta-V",IF(ISNUMBER(K86),"vitesse fixée du fichier","calcul ("&amp;N86&amp;IF(AND(N86="fusée",M86&gt;O86),", plafonné","")&amp;")")))))</f>
        <v>médiane fichier / wiki / calcul</v>
      </c>
      <c r="R86" s="32" t="n">
        <f aca="false">IF(ISNUMBER(P86),IF(E86="arme à feu",IF($B$10=1,P86,"N/A"),P86),"N/A")</f>
        <v>1156.944</v>
      </c>
      <c r="S86" s="33" t="n">
        <f aca="false">IF(ISNUMBER(R86),ROUND(1+9*(SUMPRODUCT(ISNUMBER($R$21:$R$153)*($R$21:$R$153&lt;=R86))-1)/(COUNT($R$21:$R$153)-1),1),"N/A")</f>
        <v>7.4</v>
      </c>
      <c r="T86" s="34" t="n">
        <v>4.6</v>
      </c>
    </row>
    <row r="87" customFormat="false" ht="15" hidden="false" customHeight="false" outlineLevel="0" collapsed="false">
      <c r="A87" s="0" t="str">
        <f aca="false">B87&amp;"|"&amp;C87</f>
        <v>StratoLance R9|Jeu de base</v>
      </c>
      <c r="B87" s="0" t="s">
        <v>134</v>
      </c>
      <c r="C87" s="0" t="s">
        <v>36</v>
      </c>
      <c r="D87" s="0" t="s">
        <v>97</v>
      </c>
      <c r="E87" s="0" t="str">
        <f aca="false">IF(ISNUMBER(G87),"propulsé",IF(D87="Canon / mitrailleuse / lance-grenade","arme à feu","autre"))</f>
        <v>propulsé</v>
      </c>
      <c r="F87" s="27" t="n">
        <v>500</v>
      </c>
      <c r="G87" s="28" t="n">
        <v>120000</v>
      </c>
      <c r="H87" s="29" t="n">
        <v>9</v>
      </c>
      <c r="I87" s="27" t="n">
        <v>200</v>
      </c>
      <c r="J87" s="28"/>
      <c r="K87" s="30" t="n">
        <v>1392.69</v>
      </c>
      <c r="L87" s="30" t="n">
        <v>1392.778</v>
      </c>
      <c r="M87" s="31" t="n">
        <f aca="false">IF(AND(ISNUMBER(G87),ISNUMBER(H87),ISNUMBER(I87),ISNUMBER(F87)),IF(AND(G87&gt;0,H87&gt;0,I87&gt;0,F87&gt;I87),G87*H87/I87*LN(F87/(F87-I87)),"N/A"),"N/A")</f>
        <v>2758.45836833635</v>
      </c>
      <c r="N87" s="0" t="str">
        <f aca="false">IF(ISNUMBER(M87),IF(AND(H87&gt;=$B$7,G87/(F87*$B$9)&lt;$B$8),"croisière","fusée"),"N/A")</f>
        <v>fusée</v>
      </c>
      <c r="O87" s="32" t="n">
        <f aca="false">IF(N87="fusée",MIN(M87,IF(C87="Jeu de base",$B$4,$B$5)),IF(N87="croisière",$B$6*SQRT(G87),"N/A"))</f>
        <v>1250</v>
      </c>
      <c r="P87" s="32" t="n">
        <f aca="false">IF(E87="propulsé",IF(ISNUMBER(O87),IF(AND(ISNUMBER(K87),ISNUMBER(L87)),MEDIAN(K87,L87,O87),IF(ISNUMBER(L87),L87,IF(ISNUMBER(K87),K87,O87))),IF(ISNUMBER(K87),K87,"N/A")),IF(E87="arme à feu",IF(ISNUMBER(J87),IF(ISNUMBER(K87),MIN(J87,K87),J87),"N/A"),"N/A"))</f>
        <v>1392.69</v>
      </c>
      <c r="Q87" s="0" t="str">
        <f aca="false">IF(NOT(ISNUMBER(P87)),"aucune vitesse définie",IF(E87="arme à feu",IF(AND(ISNUMBER(K87),ISNUMBER(J87),K87&lt;J87),"vitesse max fixée (inférieure à la bouche)","vitesse initiale (bouche)"),IF(AND(ISNUMBER(K87),ISNUMBER(L87)),"médiane fichier / wiki / calcul",IF(ISNUMBER(L87),"wiki Delta-V",IF(ISNUMBER(K87),"vitesse fixée du fichier","calcul ("&amp;N87&amp;IF(AND(N87="fusée",M87&gt;O87),", plafonné","")&amp;")")))))</f>
        <v>médiane fichier / wiki / calcul</v>
      </c>
      <c r="R87" s="32" t="n">
        <f aca="false">IF(ISNUMBER(P87),IF(E87="arme à feu",IF($B$10=1,P87,"N/A"),P87),"N/A")</f>
        <v>1392.69</v>
      </c>
      <c r="S87" s="33" t="n">
        <f aca="false">IF(ISNUMBER(R87),ROUND(1+9*(SUMPRODUCT(ISNUMBER($R$21:$R$153)*($R$21:$R$153&lt;=R87))-1)/(COUNT($R$21:$R$153)-1),1),"N/A")</f>
        <v>8.5</v>
      </c>
      <c r="T87" s="34" t="n">
        <v>7.3</v>
      </c>
    </row>
    <row r="88" customFormat="false" ht="15" hidden="false" customHeight="false" outlineLevel="0" collapsed="false">
      <c r="A88" s="0" t="str">
        <f aca="false">B88&amp;"|"&amp;C88</f>
        <v>Tusko-B (HE)|Jeu de base</v>
      </c>
      <c r="B88" s="0" t="s">
        <v>135</v>
      </c>
      <c r="C88" s="0" t="s">
        <v>36</v>
      </c>
      <c r="D88" s="0" t="s">
        <v>97</v>
      </c>
      <c r="E88" s="0" t="str">
        <f aca="false">IF(ISNUMBER(G88),"propulsé",IF(D88="Canon / mitrailleuse / lance-grenade","arme à feu","autre"))</f>
        <v>propulsé</v>
      </c>
      <c r="F88" s="27" t="n">
        <v>650</v>
      </c>
      <c r="G88" s="28" t="n">
        <v>22000</v>
      </c>
      <c r="H88" s="29" t="n">
        <v>20</v>
      </c>
      <c r="I88" s="27" t="n">
        <v>300</v>
      </c>
      <c r="J88" s="28"/>
      <c r="K88" s="30"/>
      <c r="L88" s="30" t="n">
        <v>908.056</v>
      </c>
      <c r="M88" s="31" t="n">
        <f aca="false">IF(AND(ISNUMBER(G88),ISNUMBER(H88),ISNUMBER(I88),ISNUMBER(F88)),IF(AND(G88&gt;0,H88&gt;0,I88&gt;0,F88&gt;I88),G88*H88/I88*LN(F88/(F88-I88)),"N/A"),"N/A")</f>
        <v>907.924172329128</v>
      </c>
      <c r="N88" s="0" t="str">
        <f aca="false">IF(ISNUMBER(M88),IF(AND(H88&gt;=$B$7,G88/(F88*$B$9)&lt;$B$8),"croisière","fusée"),"N/A")</f>
        <v>fusée</v>
      </c>
      <c r="O88" s="32" t="n">
        <f aca="false">IF(N88="fusée",MIN(M88,IF(C88="Jeu de base",$B$4,$B$5)),IF(N88="croisière",$B$6*SQRT(G88),"N/A"))</f>
        <v>907.924172329128</v>
      </c>
      <c r="P88" s="32" t="n">
        <f aca="false">IF(E88="propulsé",IF(ISNUMBER(O88),IF(AND(ISNUMBER(K88),ISNUMBER(L88)),MEDIAN(K88,L88,O88),IF(ISNUMBER(L88),L88,IF(ISNUMBER(K88),K88,O88))),IF(ISNUMBER(K88),K88,"N/A")),IF(E88="arme à feu",IF(ISNUMBER(J88),IF(ISNUMBER(K88),MIN(J88,K88),J88),"N/A"),"N/A"))</f>
        <v>908.056</v>
      </c>
      <c r="Q88" s="0" t="str">
        <f aca="false">IF(NOT(ISNUMBER(P88)),"aucune vitesse définie",IF(E88="arme à feu",IF(AND(ISNUMBER(K88),ISNUMBER(J88),K88&lt;J88),"vitesse max fixée (inférieure à la bouche)","vitesse initiale (bouche)"),IF(AND(ISNUMBER(K88),ISNUMBER(L88)),"médiane fichier / wiki / calcul",IF(ISNUMBER(L88),"wiki Delta-V",IF(ISNUMBER(K88),"vitesse fixée du fichier","calcul ("&amp;N88&amp;IF(AND(N88="fusée",M88&gt;O88),", plafonné","")&amp;")")))))</f>
        <v>wiki Delta-V</v>
      </c>
      <c r="R88" s="32" t="n">
        <f aca="false">IF(ISNUMBER(P88),IF(E88="arme à feu",IF($B$10=1,P88,"N/A"),P88),"N/A")</f>
        <v>908.056</v>
      </c>
      <c r="S88" s="33" t="n">
        <f aca="false">IF(ISNUMBER(R88),ROUND(1+9*(SUMPRODUCT(ISNUMBER($R$21:$R$153)*($R$21:$R$153&lt;=R88))-1)/(COUNT($R$21:$R$153)-1),1),"N/A")</f>
        <v>4.9</v>
      </c>
      <c r="T88" s="34" t="n">
        <v>3.3</v>
      </c>
    </row>
    <row r="89" customFormat="false" ht="15" hidden="false" customHeight="false" outlineLevel="0" collapsed="false">
      <c r="A89" s="0" t="str">
        <f aca="false">B89&amp;"|"&amp;C89</f>
        <v>AIR-2 Genie|Jeu de base</v>
      </c>
      <c r="B89" s="0" t="s">
        <v>137</v>
      </c>
      <c r="C89" s="0" t="s">
        <v>36</v>
      </c>
      <c r="D89" s="0" t="s">
        <v>138</v>
      </c>
      <c r="E89" s="0" t="str">
        <f aca="false">IF(ISNUMBER(G89),"propulsé",IF(D89="Canon / mitrailleuse / lance-grenade","arme à feu","autre"))</f>
        <v>propulsé</v>
      </c>
      <c r="F89" s="27" t="n">
        <v>373</v>
      </c>
      <c r="G89" s="28" t="n">
        <v>162000</v>
      </c>
      <c r="H89" s="29" t="n">
        <v>2</v>
      </c>
      <c r="I89" s="27" t="n">
        <v>120</v>
      </c>
      <c r="J89" s="28" t="n">
        <v>850</v>
      </c>
      <c r="K89" s="30"/>
      <c r="L89" s="30"/>
      <c r="M89" s="31" t="n">
        <f aca="false">IF(AND(ISNUMBER(G89),ISNUMBER(H89),ISNUMBER(I89),ISNUMBER(F89)),IF(AND(G89&gt;0,H89&gt;0,I89&gt;0,F89&gt;I89),G89*H89/I89*LN(F89/(F89-I89)),"N/A"),"N/A")</f>
        <v>1048.110113474</v>
      </c>
      <c r="N89" s="0" t="str">
        <f aca="false">IF(ISNUMBER(M89),IF(AND(H89&gt;=$B$7,G89/(F89*$B$9)&lt;$B$8),"croisière","fusée"),"N/A")</f>
        <v>fusée</v>
      </c>
      <c r="O89" s="32" t="n">
        <f aca="false">IF(N89="fusée",MIN(M89,IF(C89="Jeu de base",$B$4,$B$5)),IF(N89="croisière",$B$6*SQRT(G89),"N/A"))</f>
        <v>1048.110113474</v>
      </c>
      <c r="P89" s="32" t="n">
        <f aca="false">IF(E89="propulsé",IF(ISNUMBER(O89),IF(AND(ISNUMBER(K89),ISNUMBER(L89)),MEDIAN(K89,L89,O89),IF(ISNUMBER(L89),L89,IF(ISNUMBER(K89),K89,O89))),IF(ISNUMBER(K89),K89,"N/A")),IF(E89="arme à feu",IF(ISNUMBER(J89),IF(ISNUMBER(K89),MIN(J89,K89),J89),"N/A"),"N/A"))</f>
        <v>1048.110113474</v>
      </c>
      <c r="Q89" s="0" t="str">
        <f aca="false">IF(NOT(ISNUMBER(P89)),"aucune vitesse définie",IF(E89="arme à feu",IF(AND(ISNUMBER(K89),ISNUMBER(J89),K89&lt;J89),"vitesse max fixée (inférieure à la bouche)","vitesse initiale (bouche)"),IF(AND(ISNUMBER(K89),ISNUMBER(L89)),"médiane fichier / wiki / calcul",IF(ISNUMBER(L89),"wiki Delta-V",IF(ISNUMBER(K89),"vitesse fixée du fichier","calcul ("&amp;N89&amp;IF(AND(N89="fusée",M89&gt;O89),", plafonné","")&amp;")")))))</f>
        <v>calcul (fusée)</v>
      </c>
      <c r="R89" s="32" t="n">
        <f aca="false">IF(ISNUMBER(P89),IF(E89="arme à feu",IF($B$10=1,P89,"N/A"),P89),"N/A")</f>
        <v>1048.110113474</v>
      </c>
      <c r="S89" s="33" t="n">
        <f aca="false">IF(ISNUMBER(R89),ROUND(1+9*(SUMPRODUCT(ISNUMBER($R$21:$R$153)*($R$21:$R$153&lt;=R89))-1)/(COUNT($R$21:$R$153)-1),1),"N/A")</f>
        <v>5.7</v>
      </c>
      <c r="T89" s="34" t="n">
        <v>4.4</v>
      </c>
    </row>
    <row r="90" customFormat="false" ht="15" hidden="false" customHeight="false" outlineLevel="0" collapsed="false">
      <c r="A90" s="0" t="str">
        <f aca="false">B90&amp;"|"&amp;C90</f>
        <v>ALND-4 (20kt)|Jeu de base</v>
      </c>
      <c r="B90" s="0" t="s">
        <v>139</v>
      </c>
      <c r="C90" s="0" t="s">
        <v>36</v>
      </c>
      <c r="D90" s="0" t="s">
        <v>138</v>
      </c>
      <c r="E90" s="0" t="str">
        <f aca="false">IF(ISNUMBER(G90),"propulsé",IF(D90="Canon / mitrailleuse / lance-grenade","arme à feu","autre"))</f>
        <v>propulsé</v>
      </c>
      <c r="F90" s="27" t="n">
        <v>1280</v>
      </c>
      <c r="G90" s="28" t="n">
        <v>4500</v>
      </c>
      <c r="H90" s="29" t="n">
        <v>1000</v>
      </c>
      <c r="I90" s="27" t="n">
        <v>400</v>
      </c>
      <c r="J90" s="28"/>
      <c r="K90" s="30"/>
      <c r="L90" s="30" t="n">
        <v>308.889</v>
      </c>
      <c r="M90" s="31" t="n">
        <f aca="false">IF(AND(ISNUMBER(G90),ISNUMBER(H90),ISNUMBER(I90),ISNUMBER(F90)),IF(AND(G90&gt;0,H90&gt;0,I90&gt;0,F90&gt;I90),G90*H90/I90*LN(F90/(F90-I90)),"N/A"),"N/A")</f>
        <v>4215.30130621587</v>
      </c>
      <c r="N90" s="0" t="str">
        <f aca="false">IF(ISNUMBER(M90),IF(AND(H90&gt;=$B$7,G90/(F90*$B$9)&lt;$B$8),"croisière","fusée"),"N/A")</f>
        <v>croisière</v>
      </c>
      <c r="O90" s="32" t="n">
        <f aca="false">IF(N90="fusée",MIN(M90,IF(C90="Jeu de base",$B$4,$B$5)),IF(N90="croisière",$B$6*SQRT(G90),"N/A"))</f>
        <v>355.534808422467</v>
      </c>
      <c r="P90" s="32" t="n">
        <f aca="false">IF(E90="propulsé",IF(ISNUMBER(O90),IF(AND(ISNUMBER(K90),ISNUMBER(L90)),MEDIAN(K90,L90,O90),IF(ISNUMBER(L90),L90,IF(ISNUMBER(K90),K90,O90))),IF(ISNUMBER(K90),K90,"N/A")),IF(E90="arme à feu",IF(ISNUMBER(J90),IF(ISNUMBER(K90),MIN(J90,K90),J90),"N/A"),"N/A"))</f>
        <v>308.889</v>
      </c>
      <c r="Q90" s="0" t="str">
        <f aca="false">IF(NOT(ISNUMBER(P90)),"aucune vitesse définie",IF(E90="arme à feu",IF(AND(ISNUMBER(K90),ISNUMBER(J90),K90&lt;J90),"vitesse max fixée (inférieure à la bouche)","vitesse initiale (bouche)"),IF(AND(ISNUMBER(K90),ISNUMBER(L90)),"médiane fichier / wiki / calcul",IF(ISNUMBER(L90),"wiki Delta-V",IF(ISNUMBER(K90),"vitesse fixée du fichier","calcul ("&amp;N90&amp;IF(AND(N90="fusée",M90&gt;O90),", plafonné","")&amp;")")))))</f>
        <v>wiki Delta-V</v>
      </c>
      <c r="R90" s="32" t="n">
        <f aca="false">IF(ISNUMBER(P90),IF(E90="arme à feu",IF($B$10=1,P90,"N/A"),P90),"N/A")</f>
        <v>308.889</v>
      </c>
      <c r="S90" s="33" t="n">
        <f aca="false">IF(ISNUMBER(R90),ROUND(1+9*(SUMPRODUCT(ISNUMBER($R$21:$R$153)*($R$21:$R$153&lt;=R90))-1)/(COUNT($R$21:$R$153)-1),1),"N/A")</f>
        <v>1.7</v>
      </c>
      <c r="T90" s="34" t="n">
        <v>8</v>
      </c>
    </row>
    <row r="91" customFormat="false" ht="15" hidden="false" customHeight="false" outlineLevel="0" collapsed="false">
      <c r="A91" s="0" t="str">
        <f aca="false">B91&amp;"|"&amp;C91</f>
        <v>Piledriver TBM (20kt)|Jeu de base</v>
      </c>
      <c r="B91" s="0" t="s">
        <v>141</v>
      </c>
      <c r="C91" s="0" t="s">
        <v>36</v>
      </c>
      <c r="D91" s="0" t="s">
        <v>138</v>
      </c>
      <c r="E91" s="0" t="str">
        <f aca="false">IF(ISNUMBER(G91),"propulsé",IF(D91="Canon / mitrailleuse / lance-grenade","arme à feu","autre"))</f>
        <v>propulsé</v>
      </c>
      <c r="F91" s="27" t="n">
        <v>2500</v>
      </c>
      <c r="G91" s="28" t="n">
        <v>70000</v>
      </c>
      <c r="H91" s="29" t="n">
        <v>40</v>
      </c>
      <c r="I91" s="27" t="n">
        <v>1000</v>
      </c>
      <c r="J91" s="28"/>
      <c r="K91" s="30" t="n">
        <v>1430.31</v>
      </c>
      <c r="L91" s="30"/>
      <c r="M91" s="31" t="n">
        <f aca="false">IF(AND(ISNUMBER(G91),ISNUMBER(H91),ISNUMBER(I91),ISNUMBER(F91)),IF(AND(G91&gt;0,H91&gt;0,I91&gt;0,F91&gt;I91),G91*H91/I91*LN(F91/(F91-I91)),"N/A"),"N/A")</f>
        <v>1430.31174654477</v>
      </c>
      <c r="N91" s="0" t="str">
        <f aca="false">IF(ISNUMBER(M91),IF(AND(H91&gt;=$B$7,G91/(F91*$B$9)&lt;$B$8),"croisière","fusée"),"N/A")</f>
        <v>fusée</v>
      </c>
      <c r="O91" s="32" t="n">
        <f aca="false">IF(N91="fusée",MIN(M91,IF(C91="Jeu de base",$B$4,$B$5)),IF(N91="croisière",$B$6*SQRT(G91),"N/A"))</f>
        <v>1250</v>
      </c>
      <c r="P91" s="32" t="n">
        <f aca="false">IF(E91="propulsé",IF(ISNUMBER(O91),IF(AND(ISNUMBER(K91),ISNUMBER(L91)),MEDIAN(K91,L91,O91),IF(ISNUMBER(L91),L91,IF(ISNUMBER(K91),K91,O91))),IF(ISNUMBER(K91),K91,"N/A")),IF(E91="arme à feu",IF(ISNUMBER(J91),IF(ISNUMBER(K91),MIN(J91,K91),J91),"N/A"),"N/A"))</f>
        <v>1430.31</v>
      </c>
      <c r="Q91" s="0" t="str">
        <f aca="false">IF(NOT(ISNUMBER(P91)),"aucune vitesse définie",IF(E91="arme à feu",IF(AND(ISNUMBER(K91),ISNUMBER(J91),K91&lt;J91),"vitesse max fixée (inférieure à la bouche)","vitesse initiale (bouche)"),IF(AND(ISNUMBER(K91),ISNUMBER(L91)),"médiane fichier / wiki / calcul",IF(ISNUMBER(L91),"wiki Delta-V",IF(ISNUMBER(K91),"vitesse fixée du fichier","calcul ("&amp;N91&amp;IF(AND(N91="fusée",M91&gt;O91),", plafonné","")&amp;")")))))</f>
        <v>vitesse fixée du fichier</v>
      </c>
      <c r="R91" s="32" t="n">
        <f aca="false">IF(ISNUMBER(P91),IF(E91="arme à feu",IF($B$10=1,P91,"N/A"),P91),"N/A")</f>
        <v>1430.31</v>
      </c>
      <c r="S91" s="33" t="n">
        <f aca="false">IF(ISNUMBER(R91),ROUND(1+9*(SUMPRODUCT(ISNUMBER($R$21:$R$153)*($R$21:$R$153&lt;=R91))-1)/(COUNT($R$21:$R$153)-1),1),"N/A")</f>
        <v>8.7</v>
      </c>
      <c r="T91" s="34" t="n">
        <v>5.3</v>
      </c>
    </row>
    <row r="92" customFormat="false" ht="15" hidden="false" customHeight="false" outlineLevel="0" collapsed="false">
      <c r="A92" s="0" t="str">
        <f aca="false">B92&amp;"|"&amp;C92</f>
        <v>MLRS Rocket|Jeu de base</v>
      </c>
      <c r="B92" s="0" t="s">
        <v>142</v>
      </c>
      <c r="C92" s="0" t="s">
        <v>36</v>
      </c>
      <c r="D92" s="0" t="s">
        <v>143</v>
      </c>
      <c r="E92" s="0" t="str">
        <f aca="false">IF(ISNUMBER(G92),"propulsé",IF(D92="Canon / mitrailleuse / lance-grenade","arme à feu","autre"))</f>
        <v>propulsé</v>
      </c>
      <c r="F92" s="27" t="n">
        <v>300</v>
      </c>
      <c r="G92" s="28" t="n">
        <v>100000</v>
      </c>
      <c r="H92" s="29" t="n">
        <v>2</v>
      </c>
      <c r="I92" s="27" t="n">
        <v>100</v>
      </c>
      <c r="J92" s="28"/>
      <c r="K92" s="30" t="n">
        <v>745.88</v>
      </c>
      <c r="L92" s="30" t="n">
        <v>810.833</v>
      </c>
      <c r="M92" s="31" t="n">
        <f aca="false">IF(AND(ISNUMBER(G92),ISNUMBER(H92),ISNUMBER(I92),ISNUMBER(F92)),IF(AND(G92&gt;0,H92&gt;0,I92&gt;0,F92&gt;I92),G92*H92/I92*LN(F92/(F92-I92)),"N/A"),"N/A")</f>
        <v>810.930216216329</v>
      </c>
      <c r="N92" s="0" t="str">
        <f aca="false">IF(ISNUMBER(M92),IF(AND(H92&gt;=$B$7,G92/(F92*$B$9)&lt;$B$8),"croisière","fusée"),"N/A")</f>
        <v>fusée</v>
      </c>
      <c r="O92" s="32" t="n">
        <f aca="false">IF(N92="fusée",MIN(M92,IF(C92="Jeu de base",$B$4,$B$5)),IF(N92="croisière",$B$6*SQRT(G92),"N/A"))</f>
        <v>810.930216216329</v>
      </c>
      <c r="P92" s="32" t="n">
        <f aca="false">IF(E92="propulsé",IF(ISNUMBER(O92),IF(AND(ISNUMBER(K92),ISNUMBER(L92)),MEDIAN(K92,L92,O92),IF(ISNUMBER(L92),L92,IF(ISNUMBER(K92),K92,O92))),IF(ISNUMBER(K92),K92,"N/A")),IF(E92="arme à feu",IF(ISNUMBER(J92),IF(ISNUMBER(K92),MIN(J92,K92),J92),"N/A"),"N/A"))</f>
        <v>810.833</v>
      </c>
      <c r="Q92" s="0" t="str">
        <f aca="false">IF(NOT(ISNUMBER(P92)),"aucune vitesse définie",IF(E92="arme à feu",IF(AND(ISNUMBER(K92),ISNUMBER(J92),K92&lt;J92),"vitesse max fixée (inférieure à la bouche)","vitesse initiale (bouche)"),IF(AND(ISNUMBER(K92),ISNUMBER(L92)),"médiane fichier / wiki / calcul",IF(ISNUMBER(L92),"wiki Delta-V",IF(ISNUMBER(K92),"vitesse fixée du fichier","calcul ("&amp;N92&amp;IF(AND(N92="fusée",M92&gt;O92),", plafonné","")&amp;")")))))</f>
        <v>médiane fichier / wiki / calcul</v>
      </c>
      <c r="R92" s="32" t="n">
        <f aca="false">IF(ISNUMBER(P92),IF(E92="arme à feu",IF($B$10=1,P92,"N/A"),P92),"N/A")</f>
        <v>810.833</v>
      </c>
      <c r="S92" s="33" t="n">
        <f aca="false">IF(ISNUMBER(R92),ROUND(1+9*(SUMPRODUCT(ISNUMBER($R$21:$R$153)*($R$21:$R$153&lt;=R92))-1)/(COUNT($R$21:$R$153)-1),1),"N/A")</f>
        <v>3.8</v>
      </c>
      <c r="T92" s="34" t="n">
        <v>3</v>
      </c>
    </row>
    <row r="93" customFormat="false" ht="15" hidden="false" customHeight="false" outlineLevel="0" collapsed="false">
      <c r="A93" s="0" t="str">
        <f aca="false">B93&amp;"|"&amp;C93</f>
        <v>AGR-18 Lynchpin|Jeu de base</v>
      </c>
      <c r="B93" s="0" t="s">
        <v>146</v>
      </c>
      <c r="C93" s="0" t="s">
        <v>36</v>
      </c>
      <c r="D93" s="0" t="s">
        <v>147</v>
      </c>
      <c r="E93" s="0" t="str">
        <f aca="false">IF(ISNUMBER(G93),"propulsé",IF(D93="Canon / mitrailleuse / lance-grenade","arme à feu","autre"))</f>
        <v>propulsé</v>
      </c>
      <c r="F93" s="27" t="n">
        <v>11</v>
      </c>
      <c r="G93" s="28" t="n">
        <v>5800</v>
      </c>
      <c r="H93" s="29" t="n">
        <v>1.1</v>
      </c>
      <c r="I93" s="27" t="n">
        <v>4.5</v>
      </c>
      <c r="J93" s="28"/>
      <c r="K93" s="30"/>
      <c r="L93" s="30" t="n">
        <v>745.833</v>
      </c>
      <c r="M93" s="31" t="n">
        <f aca="false">IF(AND(ISNUMBER(G93),ISNUMBER(H93),ISNUMBER(I93),ISNUMBER(F93)),IF(AND(G93&gt;0,H93&gt;0,I93&gt;0,F93&gt;I93),G93*H93/I93*LN(F93/(F93-I93)),"N/A"),"N/A")</f>
        <v>745.883100404767</v>
      </c>
      <c r="N93" s="0" t="str">
        <f aca="false">IF(ISNUMBER(M93),IF(AND(H93&gt;=$B$7,G93/(F93*$B$9)&lt;$B$8),"croisière","fusée"),"N/A")</f>
        <v>fusée</v>
      </c>
      <c r="O93" s="32" t="n">
        <f aca="false">IF(N93="fusée",MIN(M93,IF(C93="Jeu de base",$B$4,$B$5)),IF(N93="croisière",$B$6*SQRT(G93),"N/A"))</f>
        <v>745.883100404767</v>
      </c>
      <c r="P93" s="32" t="n">
        <f aca="false">IF(E93="propulsé",IF(ISNUMBER(O93),IF(AND(ISNUMBER(K93),ISNUMBER(L93)),MEDIAN(K93,L93,O93),IF(ISNUMBER(L93),L93,IF(ISNUMBER(K93),K93,O93))),IF(ISNUMBER(K93),K93,"N/A")),IF(E93="arme à feu",IF(ISNUMBER(J93),IF(ISNUMBER(K93),MIN(J93,K93),J93),"N/A"),"N/A"))</f>
        <v>745.833</v>
      </c>
      <c r="Q93" s="0" t="str">
        <f aca="false">IF(NOT(ISNUMBER(P93)),"aucune vitesse définie",IF(E93="arme à feu",IF(AND(ISNUMBER(K93),ISNUMBER(J93),K93&lt;J93),"vitesse max fixée (inférieure à la bouche)","vitesse initiale (bouche)"),IF(AND(ISNUMBER(K93),ISNUMBER(L93)),"médiane fichier / wiki / calcul",IF(ISNUMBER(L93),"wiki Delta-V",IF(ISNUMBER(K93),"vitesse fixée du fichier","calcul ("&amp;N93&amp;IF(AND(N93="fusée",M93&gt;O93),", plafonné","")&amp;")")))))</f>
        <v>wiki Delta-V</v>
      </c>
      <c r="R93" s="32" t="n">
        <f aca="false">IF(ISNUMBER(P93),IF(E93="arme à feu",IF($B$10=1,P93,"N/A"),P93),"N/A")</f>
        <v>745.833</v>
      </c>
      <c r="S93" s="33" t="n">
        <f aca="false">IF(ISNUMBER(R93),ROUND(1+9*(SUMPRODUCT(ISNUMBER($R$21:$R$153)*($R$21:$R$153&lt;=R93))-1)/(COUNT($R$21:$R$153)-1),1),"N/A")</f>
        <v>2.8</v>
      </c>
      <c r="T93" s="34" t="n">
        <v>2.4</v>
      </c>
    </row>
    <row r="94" customFormat="false" ht="15" hidden="false" customHeight="false" outlineLevel="0" collapsed="false">
      <c r="A94" s="0" t="str">
        <f aca="false">B94&amp;"|"&amp;C94</f>
        <v>AGR-24 Kingpin|Jeu de base</v>
      </c>
      <c r="B94" s="0" t="s">
        <v>149</v>
      </c>
      <c r="C94" s="0" t="s">
        <v>36</v>
      </c>
      <c r="D94" s="0" t="s">
        <v>147</v>
      </c>
      <c r="E94" s="0" t="str">
        <f aca="false">IF(ISNUMBER(G94),"propulsé",IF(D94="Canon / mitrailleuse / lance-grenade","arme à feu","autre"))</f>
        <v>propulsé</v>
      </c>
      <c r="F94" s="27" t="n">
        <v>58</v>
      </c>
      <c r="G94" s="28" t="n">
        <v>28000</v>
      </c>
      <c r="H94" s="29" t="n">
        <v>1.5</v>
      </c>
      <c r="I94" s="27" t="n">
        <v>4.5</v>
      </c>
      <c r="J94" s="28"/>
      <c r="K94" s="30" t="n">
        <v>745.88</v>
      </c>
      <c r="L94" s="30" t="n">
        <v>753.889</v>
      </c>
      <c r="M94" s="31" t="n">
        <f aca="false">IF(AND(ISNUMBER(G94),ISNUMBER(H94),ISNUMBER(I94),ISNUMBER(F94)),IF(AND(G94&gt;0,H94&gt;0,I94&gt;0,F94&gt;I94),G94*H94/I94*LN(F94/(F94-I94)),"N/A"),"N/A")</f>
        <v>753.772662014945</v>
      </c>
      <c r="N94" s="0" t="str">
        <f aca="false">IF(ISNUMBER(M94),IF(AND(H94&gt;=$B$7,G94/(F94*$B$9)&lt;$B$8),"croisière","fusée"),"N/A")</f>
        <v>fusée</v>
      </c>
      <c r="O94" s="32" t="n">
        <f aca="false">IF(N94="fusée",MIN(M94,IF(C94="Jeu de base",$B$4,$B$5)),IF(N94="croisière",$B$6*SQRT(G94),"N/A"))</f>
        <v>753.772662014945</v>
      </c>
      <c r="P94" s="32" t="n">
        <f aca="false">IF(E94="propulsé",IF(ISNUMBER(O94),IF(AND(ISNUMBER(K94),ISNUMBER(L94)),MEDIAN(K94,L94,O94),IF(ISNUMBER(L94),L94,IF(ISNUMBER(K94),K94,O94))),IF(ISNUMBER(K94),K94,"N/A")),IF(E94="arme à feu",IF(ISNUMBER(J94),IF(ISNUMBER(K94),MIN(J94,K94),J94),"N/A"),"N/A"))</f>
        <v>753.772662014945</v>
      </c>
      <c r="Q94" s="0" t="str">
        <f aca="false">IF(NOT(ISNUMBER(P94)),"aucune vitesse définie",IF(E94="arme à feu",IF(AND(ISNUMBER(K94),ISNUMBER(J94),K94&lt;J94),"vitesse max fixée (inférieure à la bouche)","vitesse initiale (bouche)"),IF(AND(ISNUMBER(K94),ISNUMBER(L94)),"médiane fichier / wiki / calcul",IF(ISNUMBER(L94),"wiki Delta-V",IF(ISNUMBER(K94),"vitesse fixée du fichier","calcul ("&amp;N94&amp;IF(AND(N94="fusée",M94&gt;O94),", plafonné","")&amp;")")))))</f>
        <v>médiane fichier / wiki / calcul</v>
      </c>
      <c r="R94" s="32" t="n">
        <f aca="false">IF(ISNUMBER(P94),IF(E94="arme à feu",IF($B$10=1,P94,"N/A"),P94),"N/A")</f>
        <v>753.772662014945</v>
      </c>
      <c r="S94" s="33" t="n">
        <f aca="false">IF(ISNUMBER(R94),ROUND(1+9*(SUMPRODUCT(ISNUMBER($R$21:$R$153)*($R$21:$R$153&lt;=R94))-1)/(COUNT($R$21:$R$153)-1),1),"N/A")</f>
        <v>2.9</v>
      </c>
      <c r="T94" s="34" t="n">
        <v>3.9</v>
      </c>
    </row>
    <row r="95" customFormat="false" ht="15" hidden="false" customHeight="false" outlineLevel="0" collapsed="false">
      <c r="A95" s="0" t="str">
        <f aca="false">B95&amp;"|"&amp;C95</f>
        <v>120kw Laser|Jeu de base</v>
      </c>
      <c r="B95" s="0" t="s">
        <v>150</v>
      </c>
      <c r="C95" s="0" t="s">
        <v>36</v>
      </c>
      <c r="D95" s="0" t="s">
        <v>151</v>
      </c>
      <c r="E95" s="0" t="str">
        <f aca="false">IF(ISNUMBER(G95),"propulsé",IF(D95="Canon / mitrailleuse / lance-grenade","arme à feu","autre"))</f>
        <v>autre</v>
      </c>
      <c r="F95" s="27" t="n">
        <v>0</v>
      </c>
      <c r="G95" s="28"/>
      <c r="H95" s="29"/>
      <c r="I95" s="27"/>
      <c r="J95" s="28" t="n">
        <v>300000000</v>
      </c>
      <c r="K95" s="30"/>
      <c r="L95" s="30"/>
      <c r="M95" s="31" t="str">
        <f aca="false">IF(AND(ISNUMBER(G95),ISNUMBER(H95),ISNUMBER(I95),ISNUMBER(F95)),IF(AND(G95&gt;0,H95&gt;0,I95&gt;0,F95&gt;I95),G95*H95/I95*LN(F95/(F95-I95)),"N/A"),"N/A")</f>
        <v>N/A</v>
      </c>
      <c r="N95" s="0" t="str">
        <f aca="false">IF(ISNUMBER(M95),IF(AND(H95&gt;=$B$7,G95/(F95*$B$9)&lt;$B$8),"croisière","fusée"),"N/A")</f>
        <v>N/A</v>
      </c>
      <c r="O95" s="32" t="str">
        <f aca="false">IF(N95="fusée",MIN(M95,IF(C95="Jeu de base",$B$4,$B$5)),IF(N95="croisière",$B$6*SQRT(G95),"N/A"))</f>
        <v>N/A</v>
      </c>
      <c r="P95" s="32" t="str">
        <f aca="false">IF(E95="propulsé",IF(ISNUMBER(O95),IF(AND(ISNUMBER(K95),ISNUMBER(L95)),MEDIAN(K95,L95,O95),IF(ISNUMBER(L95),L95,IF(ISNUMBER(K95),K95,O95))),IF(ISNUMBER(K95),K95,"N/A")),IF(E95="arme à feu",IF(ISNUMBER(J95),IF(ISNUMBER(K95),MIN(J95,K95),J95),"N/A"),"N/A"))</f>
        <v>N/A</v>
      </c>
      <c r="Q95" s="0" t="str">
        <f aca="false">IF(NOT(ISNUMBER(P95)),"aucune vitesse définie",IF(E95="arme à feu",IF(AND(ISNUMBER(K95),ISNUMBER(J95),K95&lt;J95),"vitesse max fixée (inférieure à la bouche)","vitesse initiale (bouche)"),IF(AND(ISNUMBER(K95),ISNUMBER(L95)),"médiane fichier / wiki / calcul",IF(ISNUMBER(L95),"wiki Delta-V",IF(ISNUMBER(K95),"vitesse fixée du fichier","calcul ("&amp;N95&amp;IF(AND(N95="fusée",M95&gt;O95),", plafonné","")&amp;")")))))</f>
        <v>aucune vitesse définie</v>
      </c>
      <c r="R95" s="32" t="str">
        <f aca="false">IF(ISNUMBER(P95),IF(E95="arme à feu",IF($B$10=1,P95,"N/A"),P95),"N/A")</f>
        <v>N/A</v>
      </c>
      <c r="S95" s="33" t="str">
        <f aca="false">IF(ISNUMBER(R95),ROUND(1+9*(SUMPRODUCT(ISNUMBER($R$21:$R$153)*($R$21:$R$153&lt;=R95))-1)/(COUNT($R$21:$R$153)-1),1),"N/A")</f>
        <v>N/A</v>
      </c>
      <c r="T95" s="34"/>
    </row>
    <row r="96" customFormat="false" ht="15" hidden="false" customHeight="false" outlineLevel="0" collapsed="false">
      <c r="A96" s="0" t="str">
        <f aca="false">B96&amp;"|"&amp;C96</f>
        <v>20kw Laser|Jeu de base</v>
      </c>
      <c r="B96" s="0" t="s">
        <v>152</v>
      </c>
      <c r="C96" s="0" t="s">
        <v>36</v>
      </c>
      <c r="D96" s="0" t="s">
        <v>151</v>
      </c>
      <c r="E96" s="0" t="str">
        <f aca="false">IF(ISNUMBER(G96),"propulsé",IF(D96="Canon / mitrailleuse / lance-grenade","arme à feu","autre"))</f>
        <v>autre</v>
      </c>
      <c r="F96" s="27" t="n">
        <v>0</v>
      </c>
      <c r="G96" s="28"/>
      <c r="H96" s="29"/>
      <c r="I96" s="27"/>
      <c r="J96" s="28" t="n">
        <v>300000000</v>
      </c>
      <c r="K96" s="30"/>
      <c r="L96" s="30"/>
      <c r="M96" s="31" t="str">
        <f aca="false">IF(AND(ISNUMBER(G96),ISNUMBER(H96),ISNUMBER(I96),ISNUMBER(F96)),IF(AND(G96&gt;0,H96&gt;0,I96&gt;0,F96&gt;I96),G96*H96/I96*LN(F96/(F96-I96)),"N/A"),"N/A")</f>
        <v>N/A</v>
      </c>
      <c r="N96" s="0" t="str">
        <f aca="false">IF(ISNUMBER(M96),IF(AND(H96&gt;=$B$7,G96/(F96*$B$9)&lt;$B$8),"croisière","fusée"),"N/A")</f>
        <v>N/A</v>
      </c>
      <c r="O96" s="32" t="str">
        <f aca="false">IF(N96="fusée",MIN(M96,IF(C96="Jeu de base",$B$4,$B$5)),IF(N96="croisière",$B$6*SQRT(G96),"N/A"))</f>
        <v>N/A</v>
      </c>
      <c r="P96" s="32" t="str">
        <f aca="false">IF(E96="propulsé",IF(ISNUMBER(O96),IF(AND(ISNUMBER(K96),ISNUMBER(L96)),MEDIAN(K96,L96,O96),IF(ISNUMBER(L96),L96,IF(ISNUMBER(K96),K96,O96))),IF(ISNUMBER(K96),K96,"N/A")),IF(E96="arme à feu",IF(ISNUMBER(J96),IF(ISNUMBER(K96),MIN(J96,K96),J96),"N/A"),"N/A"))</f>
        <v>N/A</v>
      </c>
      <c r="Q96" s="0" t="str">
        <f aca="false">IF(NOT(ISNUMBER(P96)),"aucune vitesse définie",IF(E96="arme à feu",IF(AND(ISNUMBER(K96),ISNUMBER(J96),K96&lt;J96),"vitesse max fixée (inférieure à la bouche)","vitesse initiale (bouche)"),IF(AND(ISNUMBER(K96),ISNUMBER(L96)),"médiane fichier / wiki / calcul",IF(ISNUMBER(L96),"wiki Delta-V",IF(ISNUMBER(K96),"vitesse fixée du fichier","calcul ("&amp;N96&amp;IF(AND(N96="fusée",M96&gt;O96),", plafonné","")&amp;")")))))</f>
        <v>aucune vitesse définie</v>
      </c>
      <c r="R96" s="32" t="str">
        <f aca="false">IF(ISNUMBER(P96),IF(E96="arme à feu",IF($B$10=1,P96,"N/A"),P96),"N/A")</f>
        <v>N/A</v>
      </c>
      <c r="S96" s="33" t="str">
        <f aca="false">IF(ISNUMBER(R96),ROUND(1+9*(SUMPRODUCT(ISNUMBER($R$21:$R$153)*($R$21:$R$153&lt;=R96))-1)/(COUNT($R$21:$R$153)-1),1),"N/A")</f>
        <v>N/A</v>
      </c>
      <c r="T96" s="34"/>
    </row>
    <row r="97" customFormat="false" ht="15" hidden="false" customHeight="false" outlineLevel="0" collapsed="false">
      <c r="A97" s="0" t="str">
        <f aca="false">B97&amp;"|"&amp;C97</f>
        <v>80kw Laser|Jeu de base</v>
      </c>
      <c r="B97" s="0" t="s">
        <v>153</v>
      </c>
      <c r="C97" s="0" t="s">
        <v>36</v>
      </c>
      <c r="D97" s="0" t="s">
        <v>151</v>
      </c>
      <c r="E97" s="0" t="str">
        <f aca="false">IF(ISNUMBER(G97),"propulsé",IF(D97="Canon / mitrailleuse / lance-grenade","arme à feu","autre"))</f>
        <v>autre</v>
      </c>
      <c r="F97" s="27" t="n">
        <v>0</v>
      </c>
      <c r="G97" s="28"/>
      <c r="H97" s="29"/>
      <c r="I97" s="27"/>
      <c r="J97" s="28" t="n">
        <v>300000000</v>
      </c>
      <c r="K97" s="30"/>
      <c r="L97" s="30"/>
      <c r="M97" s="31" t="str">
        <f aca="false">IF(AND(ISNUMBER(G97),ISNUMBER(H97),ISNUMBER(I97),ISNUMBER(F97)),IF(AND(G97&gt;0,H97&gt;0,I97&gt;0,F97&gt;I97),G97*H97/I97*LN(F97/(F97-I97)),"N/A"),"N/A")</f>
        <v>N/A</v>
      </c>
      <c r="N97" s="0" t="str">
        <f aca="false">IF(ISNUMBER(M97),IF(AND(H97&gt;=$B$7,G97/(F97*$B$9)&lt;$B$8),"croisière","fusée"),"N/A")</f>
        <v>N/A</v>
      </c>
      <c r="O97" s="32" t="str">
        <f aca="false">IF(N97="fusée",MIN(M97,IF(C97="Jeu de base",$B$4,$B$5)),IF(N97="croisière",$B$6*SQRT(G97),"N/A"))</f>
        <v>N/A</v>
      </c>
      <c r="P97" s="32" t="str">
        <f aca="false">IF(E97="propulsé",IF(ISNUMBER(O97),IF(AND(ISNUMBER(K97),ISNUMBER(L97)),MEDIAN(K97,L97,O97),IF(ISNUMBER(L97),L97,IF(ISNUMBER(K97),K97,O97))),IF(ISNUMBER(K97),K97,"N/A")),IF(E97="arme à feu",IF(ISNUMBER(J97),IF(ISNUMBER(K97),MIN(J97,K97),J97),"N/A"),"N/A"))</f>
        <v>N/A</v>
      </c>
      <c r="Q97" s="0" t="str">
        <f aca="false">IF(NOT(ISNUMBER(P97)),"aucune vitesse définie",IF(E97="arme à feu",IF(AND(ISNUMBER(K97),ISNUMBER(J97),K97&lt;J97),"vitesse max fixée (inférieure à la bouche)","vitesse initiale (bouche)"),IF(AND(ISNUMBER(K97),ISNUMBER(L97)),"médiane fichier / wiki / calcul",IF(ISNUMBER(L97),"wiki Delta-V",IF(ISNUMBER(K97),"vitesse fixée du fichier","calcul ("&amp;N97&amp;IF(AND(N97="fusée",M97&gt;O97),", plafonné","")&amp;")")))))</f>
        <v>aucune vitesse définie</v>
      </c>
      <c r="R97" s="32" t="str">
        <f aca="false">IF(ISNUMBER(P97),IF(E97="arme à feu",IF($B$10=1,P97,"N/A"),P97),"N/A")</f>
        <v>N/A</v>
      </c>
      <c r="S97" s="33" t="str">
        <f aca="false">IF(ISNUMBER(R97),ROUND(1+9*(SUMPRODUCT(ISNUMBER($R$21:$R$153)*($R$21:$R$153&lt;=R97))-1)/(COUNT($R$21:$R$153)-1),1),"N/A")</f>
        <v>N/A</v>
      </c>
      <c r="T97" s="34"/>
    </row>
    <row r="98" customFormat="false" ht="15" hidden="false" customHeight="false" outlineLevel="0" collapsed="false">
      <c r="A98" s="0" t="str">
        <f aca="false">B98&amp;"|"&amp;C98</f>
        <v>Radome|Jeu de base</v>
      </c>
      <c r="B98" s="0" t="s">
        <v>154</v>
      </c>
      <c r="C98" s="0" t="s">
        <v>36</v>
      </c>
      <c r="D98" s="0" t="s">
        <v>151</v>
      </c>
      <c r="E98" s="0" t="str">
        <f aca="false">IF(ISNUMBER(G98),"propulsé",IF(D98="Canon / mitrailleuse / lance-grenade","arme à feu","autre"))</f>
        <v>autre</v>
      </c>
      <c r="F98" s="27" t="n">
        <v>0</v>
      </c>
      <c r="G98" s="28"/>
      <c r="H98" s="29"/>
      <c r="I98" s="27"/>
      <c r="J98" s="28"/>
      <c r="K98" s="30"/>
      <c r="L98" s="30"/>
      <c r="M98" s="31" t="str">
        <f aca="false">IF(AND(ISNUMBER(G98),ISNUMBER(H98),ISNUMBER(I98),ISNUMBER(F98)),IF(AND(G98&gt;0,H98&gt;0,I98&gt;0,F98&gt;I98),G98*H98/I98*LN(F98/(F98-I98)),"N/A"),"N/A")</f>
        <v>N/A</v>
      </c>
      <c r="N98" s="0" t="str">
        <f aca="false">IF(ISNUMBER(M98),IF(AND(H98&gt;=$B$7,G98/(F98*$B$9)&lt;$B$8),"croisière","fusée"),"N/A")</f>
        <v>N/A</v>
      </c>
      <c r="O98" s="32" t="str">
        <f aca="false">IF(N98="fusée",MIN(M98,IF(C98="Jeu de base",$B$4,$B$5)),IF(N98="croisière",$B$6*SQRT(G98),"N/A"))</f>
        <v>N/A</v>
      </c>
      <c r="P98" s="32" t="str">
        <f aca="false">IF(E98="propulsé",IF(ISNUMBER(O98),IF(AND(ISNUMBER(K98),ISNUMBER(L98)),MEDIAN(K98,L98,O98),IF(ISNUMBER(L98),L98,IF(ISNUMBER(K98),K98,O98))),IF(ISNUMBER(K98),K98,"N/A")),IF(E98="arme à feu",IF(ISNUMBER(J98),IF(ISNUMBER(K98),MIN(J98,K98),J98),"N/A"),"N/A"))</f>
        <v>N/A</v>
      </c>
      <c r="Q98" s="0" t="str">
        <f aca="false">IF(NOT(ISNUMBER(P98)),"aucune vitesse définie",IF(E98="arme à feu",IF(AND(ISNUMBER(K98),ISNUMBER(J98),K98&lt;J98),"vitesse max fixée (inférieure à la bouche)","vitesse initiale (bouche)"),IF(AND(ISNUMBER(K98),ISNUMBER(L98)),"médiane fichier / wiki / calcul",IF(ISNUMBER(L98),"wiki Delta-V",IF(ISNUMBER(K98),"vitesse fixée du fichier","calcul ("&amp;N98&amp;IF(AND(N98="fusée",M98&gt;O98),", plafonné","")&amp;")")))))</f>
        <v>aucune vitesse définie</v>
      </c>
      <c r="R98" s="32" t="str">
        <f aca="false">IF(ISNUMBER(P98),IF(E98="arme à feu",IF($B$10=1,P98,"N/A"),P98),"N/A")</f>
        <v>N/A</v>
      </c>
      <c r="S98" s="33" t="str">
        <f aca="false">IF(ISNUMBER(R98),ROUND(1+9*(SUMPRODUCT(ISNUMBER($R$21:$R$153)*($R$21:$R$153&lt;=R98))-1)/(COUNT($R$21:$R$153)-1),1),"N/A")</f>
        <v>N/A</v>
      </c>
      <c r="T98" s="34"/>
    </row>
    <row r="99" customFormat="false" ht="15" hidden="false" customHeight="false" outlineLevel="0" collapsed="false">
      <c r="A99" s="0" t="str">
        <f aca="false">B99&amp;"|"&amp;C99</f>
        <v>Special Flare|Jeu de base</v>
      </c>
      <c r="B99" s="0" t="s">
        <v>155</v>
      </c>
      <c r="C99" s="0" t="s">
        <v>36</v>
      </c>
      <c r="D99" s="0" t="s">
        <v>151</v>
      </c>
      <c r="E99" s="0" t="str">
        <f aca="false">IF(ISNUMBER(G99),"propulsé",IF(D99="Canon / mitrailleuse / lance-grenade","arme à feu","autre"))</f>
        <v>autre</v>
      </c>
      <c r="F99" s="27" t="n">
        <v>0</v>
      </c>
      <c r="G99" s="28"/>
      <c r="H99" s="29"/>
      <c r="I99" s="27"/>
      <c r="J99" s="28"/>
      <c r="K99" s="30"/>
      <c r="L99" s="30"/>
      <c r="M99" s="31" t="str">
        <f aca="false">IF(AND(ISNUMBER(G99),ISNUMBER(H99),ISNUMBER(I99),ISNUMBER(F99)),IF(AND(G99&gt;0,H99&gt;0,I99&gt;0,F99&gt;I99),G99*H99/I99*LN(F99/(F99-I99)),"N/A"),"N/A")</f>
        <v>N/A</v>
      </c>
      <c r="N99" s="0" t="str">
        <f aca="false">IF(ISNUMBER(M99),IF(AND(H99&gt;=$B$7,G99/(F99*$B$9)&lt;$B$8),"croisière","fusée"),"N/A")</f>
        <v>N/A</v>
      </c>
      <c r="O99" s="32" t="str">
        <f aca="false">IF(N99="fusée",MIN(M99,IF(C99="Jeu de base",$B$4,$B$5)),IF(N99="croisière",$B$6*SQRT(G99),"N/A"))</f>
        <v>N/A</v>
      </c>
      <c r="P99" s="32" t="str">
        <f aca="false">IF(E99="propulsé",IF(ISNUMBER(O99),IF(AND(ISNUMBER(K99),ISNUMBER(L99)),MEDIAN(K99,L99,O99),IF(ISNUMBER(L99),L99,IF(ISNUMBER(K99),K99,O99))),IF(ISNUMBER(K99),K99,"N/A")),IF(E99="arme à feu",IF(ISNUMBER(J99),IF(ISNUMBER(K99),MIN(J99,K99),J99),"N/A"),"N/A"))</f>
        <v>N/A</v>
      </c>
      <c r="Q99" s="0" t="str">
        <f aca="false">IF(NOT(ISNUMBER(P99)),"aucune vitesse définie",IF(E99="arme à feu",IF(AND(ISNUMBER(K99),ISNUMBER(J99),K99&lt;J99),"vitesse max fixée (inférieure à la bouche)","vitesse initiale (bouche)"),IF(AND(ISNUMBER(K99),ISNUMBER(L99)),"médiane fichier / wiki / calcul",IF(ISNUMBER(L99),"wiki Delta-V",IF(ISNUMBER(K99),"vitesse fixée du fichier","calcul ("&amp;N99&amp;IF(AND(N99="fusée",M99&gt;O99),", plafonné","")&amp;")")))))</f>
        <v>aucune vitesse définie</v>
      </c>
      <c r="R99" s="32" t="str">
        <f aca="false">IF(ISNUMBER(P99),IF(E99="arme à feu",IF($B$10=1,P99,"N/A"),P99),"N/A")</f>
        <v>N/A</v>
      </c>
      <c r="S99" s="33" t="str">
        <f aca="false">IF(ISNUMBER(R99),ROUND(1+9*(SUMPRODUCT(ISNUMBER($R$21:$R$153)*($R$21:$R$153&lt;=R99))-1)/(COUNT($R$21:$R$153)-1),1),"N/A")</f>
        <v>N/A</v>
      </c>
      <c r="T99" s="34"/>
    </row>
    <row r="100" customFormat="false" ht="15" hidden="false" customHeight="false" outlineLevel="0" collapsed="false">
      <c r="A100" s="0" t="str">
        <f aca="false">B100&amp;"|"&amp;C100</f>
        <v>Special Smoke|Jeu de base</v>
      </c>
      <c r="B100" s="0" t="s">
        <v>156</v>
      </c>
      <c r="C100" s="0" t="s">
        <v>36</v>
      </c>
      <c r="D100" s="0" t="s">
        <v>151</v>
      </c>
      <c r="E100" s="0" t="str">
        <f aca="false">IF(ISNUMBER(G100),"propulsé",IF(D100="Canon / mitrailleuse / lance-grenade","arme à feu","autre"))</f>
        <v>autre</v>
      </c>
      <c r="F100" s="27" t="n">
        <v>0</v>
      </c>
      <c r="G100" s="28"/>
      <c r="H100" s="29"/>
      <c r="I100" s="27"/>
      <c r="J100" s="28"/>
      <c r="K100" s="30"/>
      <c r="L100" s="30"/>
      <c r="M100" s="31" t="str">
        <f aca="false">IF(AND(ISNUMBER(G100),ISNUMBER(H100),ISNUMBER(I100),ISNUMBER(F100)),IF(AND(G100&gt;0,H100&gt;0,I100&gt;0,F100&gt;I100),G100*H100/I100*LN(F100/(F100-I100)),"N/A"),"N/A")</f>
        <v>N/A</v>
      </c>
      <c r="N100" s="0" t="str">
        <f aca="false">IF(ISNUMBER(M100),IF(AND(H100&gt;=$B$7,G100/(F100*$B$9)&lt;$B$8),"croisière","fusée"),"N/A")</f>
        <v>N/A</v>
      </c>
      <c r="O100" s="32" t="str">
        <f aca="false">IF(N100="fusée",MIN(M100,IF(C100="Jeu de base",$B$4,$B$5)),IF(N100="croisière",$B$6*SQRT(G100),"N/A"))</f>
        <v>N/A</v>
      </c>
      <c r="P100" s="32" t="str">
        <f aca="false">IF(E100="propulsé",IF(ISNUMBER(O100),IF(AND(ISNUMBER(K100),ISNUMBER(L100)),MEDIAN(K100,L100,O100),IF(ISNUMBER(L100),L100,IF(ISNUMBER(K100),K100,O100))),IF(ISNUMBER(K100),K100,"N/A")),IF(E100="arme à feu",IF(ISNUMBER(J100),IF(ISNUMBER(K100),MIN(J100,K100),J100),"N/A"),"N/A"))</f>
        <v>N/A</v>
      </c>
      <c r="Q100" s="0" t="str">
        <f aca="false">IF(NOT(ISNUMBER(P100)),"aucune vitesse définie",IF(E100="arme à feu",IF(AND(ISNUMBER(K100),ISNUMBER(J100),K100&lt;J100),"vitesse max fixée (inférieure à la bouche)","vitesse initiale (bouche)"),IF(AND(ISNUMBER(K100),ISNUMBER(L100)),"médiane fichier / wiki / calcul",IF(ISNUMBER(L100),"wiki Delta-V",IF(ISNUMBER(K100),"vitesse fixée du fichier","calcul ("&amp;N100&amp;IF(AND(N100="fusée",M100&gt;O100),", plafonné","")&amp;")")))))</f>
        <v>aucune vitesse définie</v>
      </c>
      <c r="R100" s="32" t="str">
        <f aca="false">IF(ISNUMBER(P100),IF(E100="arme à feu",IF($B$10=1,P100,"N/A"),P100),"N/A")</f>
        <v>N/A</v>
      </c>
      <c r="S100" s="33" t="str">
        <f aca="false">IF(ISNUMBER(R100),ROUND(1+9*(SUMPRODUCT(ISNUMBER($R$21:$R$153)*($R$21:$R$153&lt;=R100))-1)/(COUNT($R$21:$R$153)-1),1),"N/A")</f>
        <v>N/A</v>
      </c>
      <c r="T100" s="34"/>
    </row>
    <row r="101" customFormat="false" ht="15" hidden="false" customHeight="false" outlineLevel="0" collapsed="false">
      <c r="A101" s="0" t="str">
        <f aca="false">B101&amp;"|"&amp;C101</f>
        <v>20mm M61 Vulcan Cannon|Aryx F-16M</v>
      </c>
      <c r="B101" s="0" t="s">
        <v>157</v>
      </c>
      <c r="C101" s="0" t="s">
        <v>158</v>
      </c>
      <c r="D101" s="0" t="s">
        <v>64</v>
      </c>
      <c r="E101" s="0" t="str">
        <f aca="false">IF(ISNUMBER(G101),"propulsé",IF(D101="Canon / mitrailleuse / lance-grenade","arme à feu","autre"))</f>
        <v>arme à feu</v>
      </c>
      <c r="F101" s="27" t="n">
        <v>0.27</v>
      </c>
      <c r="G101" s="28"/>
      <c r="H101" s="29"/>
      <c r="I101" s="27"/>
      <c r="J101" s="28" t="n">
        <v>1100</v>
      </c>
      <c r="K101" s="30"/>
      <c r="L101" s="30"/>
      <c r="M101" s="31" t="str">
        <f aca="false">IF(AND(ISNUMBER(G101),ISNUMBER(H101),ISNUMBER(I101),ISNUMBER(F101)),IF(AND(G101&gt;0,H101&gt;0,I101&gt;0,F101&gt;I101),G101*H101/I101*LN(F101/(F101-I101)),"N/A"),"N/A")</f>
        <v>N/A</v>
      </c>
      <c r="N101" s="0" t="str">
        <f aca="false">IF(ISNUMBER(M101),IF(AND(H101&gt;=$B$7,G101/(F101*$B$9)&lt;$B$8),"croisière","fusée"),"N/A")</f>
        <v>N/A</v>
      </c>
      <c r="O101" s="32" t="str">
        <f aca="false">IF(N101="fusée",MIN(M101,IF(C101="Jeu de base",$B$4,$B$5)),IF(N101="croisière",$B$6*SQRT(G101),"N/A"))</f>
        <v>N/A</v>
      </c>
      <c r="P101" s="32" t="n">
        <f aca="false">IF(E101="propulsé",IF(ISNUMBER(O101),IF(AND(ISNUMBER(K101),ISNUMBER(L101)),MEDIAN(K101,L101,O101),IF(ISNUMBER(L101),L101,IF(ISNUMBER(K101),K101,O101))),IF(ISNUMBER(K101),K101,"N/A")),IF(E101="arme à feu",IF(ISNUMBER(J101),IF(ISNUMBER(K101),MIN(J101,K101),J101),"N/A"),"N/A"))</f>
        <v>1100</v>
      </c>
      <c r="Q101" s="0" t="str">
        <f aca="false">IF(NOT(ISNUMBER(P101)),"aucune vitesse définie",IF(E101="arme à feu",IF(AND(ISNUMBER(K101),ISNUMBER(J101),K101&lt;J101),"vitesse max fixée (inférieure à la bouche)","vitesse initiale (bouche)"),IF(AND(ISNUMBER(K101),ISNUMBER(L101)),"médiane fichier / wiki / calcul",IF(ISNUMBER(L101),"wiki Delta-V",IF(ISNUMBER(K101),"vitesse fixée du fichier","calcul ("&amp;N101&amp;IF(AND(N101="fusée",M101&gt;O101),", plafonné","")&amp;")")))))</f>
        <v>vitesse initiale (bouche)</v>
      </c>
      <c r="R101" s="32" t="n">
        <f aca="false">IF(ISNUMBER(P101),IF(E101="arme à feu",IF($B$10=1,P101,"N/A"),P101),"N/A")</f>
        <v>1100</v>
      </c>
      <c r="S101" s="33" t="n">
        <f aca="false">IF(ISNUMBER(R101),ROUND(1+9*(SUMPRODUCT(ISNUMBER($R$21:$R$153)*($R$21:$R$153&lt;=R101))-1)/(COUNT($R$21:$R$153)-1),1),"N/A")</f>
        <v>7.1</v>
      </c>
      <c r="T101" s="34"/>
    </row>
    <row r="102" customFormat="false" ht="15" hidden="false" customHeight="false" outlineLevel="0" collapsed="false">
      <c r="A102" s="0" t="str">
        <f aca="false">B102&amp;"|"&amp;C102</f>
        <v>CBO-400|Aryx F-99 Shrike</v>
      </c>
      <c r="B102" s="0" t="s">
        <v>45</v>
      </c>
      <c r="C102" s="0" t="s">
        <v>159</v>
      </c>
      <c r="D102" s="0" t="s">
        <v>43</v>
      </c>
      <c r="E102" s="0" t="str">
        <f aca="false">IF(ISNUMBER(G102),"propulsé",IF(D102="Canon / mitrailleuse / lance-grenade","arme à feu","autre"))</f>
        <v>autre</v>
      </c>
      <c r="F102" s="27" t="n">
        <v>400</v>
      </c>
      <c r="G102" s="28"/>
      <c r="H102" s="29"/>
      <c r="I102" s="27"/>
      <c r="J102" s="28"/>
      <c r="K102" s="30"/>
      <c r="L102" s="30"/>
      <c r="M102" s="31" t="str">
        <f aca="false">IF(AND(ISNUMBER(G102),ISNUMBER(H102),ISNUMBER(I102),ISNUMBER(F102)),IF(AND(G102&gt;0,H102&gt;0,I102&gt;0,F102&gt;I102),G102*H102/I102*LN(F102/(F102-I102)),"N/A"),"N/A")</f>
        <v>N/A</v>
      </c>
      <c r="N102" s="0" t="str">
        <f aca="false">IF(ISNUMBER(M102),IF(AND(H102&gt;=$B$7,G102/(F102*$B$9)&lt;$B$8),"croisière","fusée"),"N/A")</f>
        <v>N/A</v>
      </c>
      <c r="O102" s="32" t="str">
        <f aca="false">IF(N102="fusée",MIN(M102,IF(C102="Jeu de base",$B$4,$B$5)),IF(N102="croisière",$B$6*SQRT(G102),"N/A"))</f>
        <v>N/A</v>
      </c>
      <c r="P102" s="32" t="str">
        <f aca="false">IF(E102="propulsé",IF(ISNUMBER(O102),IF(AND(ISNUMBER(K102),ISNUMBER(L102)),MEDIAN(K102,L102,O102),IF(ISNUMBER(L102),L102,IF(ISNUMBER(K102),K102,O102))),IF(ISNUMBER(K102),K102,"N/A")),IF(E102="arme à feu",IF(ISNUMBER(J102),IF(ISNUMBER(K102),MIN(J102,K102),J102),"N/A"),"N/A"))</f>
        <v>N/A</v>
      </c>
      <c r="Q102" s="0" t="str">
        <f aca="false">IF(NOT(ISNUMBER(P102)),"aucune vitesse définie",IF(E102="arme à feu",IF(AND(ISNUMBER(K102),ISNUMBER(J102),K102&lt;J102),"vitesse max fixée (inférieure à la bouche)","vitesse initiale (bouche)"),IF(AND(ISNUMBER(K102),ISNUMBER(L102)),"médiane fichier / wiki / calcul",IF(ISNUMBER(L102),"wiki Delta-V",IF(ISNUMBER(K102),"vitesse fixée du fichier","calcul ("&amp;N102&amp;IF(AND(N102="fusée",M102&gt;O102),", plafonné","")&amp;")")))))</f>
        <v>aucune vitesse définie</v>
      </c>
      <c r="R102" s="32" t="str">
        <f aca="false">IF(ISNUMBER(P102),IF(E102="arme à feu",IF($B$10=1,P102,"N/A"),P102),"N/A")</f>
        <v>N/A</v>
      </c>
      <c r="S102" s="33" t="str">
        <f aca="false">IF(ISNUMBER(R102),ROUND(1+9*(SUMPRODUCT(ISNUMBER($R$21:$R$153)*($R$21:$R$153&lt;=R102))-1)/(COUNT($R$21:$R$153)-1),1),"N/A")</f>
        <v>N/A</v>
      </c>
      <c r="T102" s="34"/>
    </row>
    <row r="103" customFormat="false" ht="15" hidden="false" customHeight="false" outlineLevel="0" collapsed="false">
      <c r="A103" s="0" t="str">
        <f aca="false">B103&amp;"|"&amp;C103</f>
        <v>20mm Autocannon|Aryx F-99 Shrike</v>
      </c>
      <c r="B103" s="0" t="s">
        <v>70</v>
      </c>
      <c r="C103" s="0" t="s">
        <v>159</v>
      </c>
      <c r="D103" s="0" t="s">
        <v>64</v>
      </c>
      <c r="E103" s="0" t="str">
        <f aca="false">IF(ISNUMBER(G103),"propulsé",IF(D103="Canon / mitrailleuse / lance-grenade","arme à feu","autre"))</f>
        <v>arme à feu</v>
      </c>
      <c r="F103" s="27" t="n">
        <v>0.15</v>
      </c>
      <c r="G103" s="28"/>
      <c r="H103" s="29"/>
      <c r="I103" s="27"/>
      <c r="J103" s="28" t="n">
        <v>1000</v>
      </c>
      <c r="K103" s="30"/>
      <c r="L103" s="30"/>
      <c r="M103" s="31" t="str">
        <f aca="false">IF(AND(ISNUMBER(G103),ISNUMBER(H103),ISNUMBER(I103),ISNUMBER(F103)),IF(AND(G103&gt;0,H103&gt;0,I103&gt;0,F103&gt;I103),G103*H103/I103*LN(F103/(F103-I103)),"N/A"),"N/A")</f>
        <v>N/A</v>
      </c>
      <c r="N103" s="0" t="str">
        <f aca="false">IF(ISNUMBER(M103),IF(AND(H103&gt;=$B$7,G103/(F103*$B$9)&lt;$B$8),"croisière","fusée"),"N/A")</f>
        <v>N/A</v>
      </c>
      <c r="O103" s="32" t="str">
        <f aca="false">IF(N103="fusée",MIN(M103,IF(C103="Jeu de base",$B$4,$B$5)),IF(N103="croisière",$B$6*SQRT(G103),"N/A"))</f>
        <v>N/A</v>
      </c>
      <c r="P103" s="32" t="n">
        <f aca="false">IF(E103="propulsé",IF(ISNUMBER(O103),IF(AND(ISNUMBER(K103),ISNUMBER(L103)),MEDIAN(K103,L103,O103),IF(ISNUMBER(L103),L103,IF(ISNUMBER(K103),K103,O103))),IF(ISNUMBER(K103),K103,"N/A")),IF(E103="arme à feu",IF(ISNUMBER(J103),IF(ISNUMBER(K103),MIN(J103,K103),J103),"N/A"),"N/A"))</f>
        <v>1000</v>
      </c>
      <c r="Q103" s="0" t="str">
        <f aca="false">IF(NOT(ISNUMBER(P103)),"aucune vitesse définie",IF(E103="arme à feu",IF(AND(ISNUMBER(K103),ISNUMBER(J103),K103&lt;J103),"vitesse max fixée (inférieure à la bouche)","vitesse initiale (bouche)"),IF(AND(ISNUMBER(K103),ISNUMBER(L103)),"médiane fichier / wiki / calcul",IF(ISNUMBER(L103),"wiki Delta-V",IF(ISNUMBER(K103),"vitesse fixée du fichier","calcul ("&amp;N103&amp;IF(AND(N103="fusée",M103&gt;O103),", plafonné","")&amp;")")))))</f>
        <v>vitesse initiale (bouche)</v>
      </c>
      <c r="R103" s="32" t="n">
        <f aca="false">IF(ISNUMBER(P103),IF(E103="arme à feu",IF($B$10=1,P103,"N/A"),P103),"N/A")</f>
        <v>1000</v>
      </c>
      <c r="S103" s="33" t="n">
        <f aca="false">IF(ISNUMBER(R103),ROUND(1+9*(SUMPRODUCT(ISNUMBER($R$21:$R$153)*($R$21:$R$153&lt;=R103))-1)/(COUNT($R$21:$R$153)-1),1),"N/A")</f>
        <v>5.4</v>
      </c>
      <c r="T103" s="34"/>
    </row>
    <row r="104" customFormat="false" ht="15" hidden="false" customHeight="false" outlineLevel="0" collapsed="false">
      <c r="A104" s="0" t="str">
        <f aca="false">B104&amp;"|"&amp;C104</f>
        <v>20mm Rotary Cannon (Hi-RPM)|Aryx FS-41 Eclipse</v>
      </c>
      <c r="B104" s="0" t="s">
        <v>160</v>
      </c>
      <c r="C104" s="0" t="s">
        <v>161</v>
      </c>
      <c r="D104" s="0" t="s">
        <v>64</v>
      </c>
      <c r="E104" s="0" t="str">
        <f aca="false">IF(ISNUMBER(G104),"propulsé",IF(D104="Canon / mitrailleuse / lance-grenade","arme à feu","autre"))</f>
        <v>arme à feu</v>
      </c>
      <c r="F104" s="27" t="n">
        <v>0.27</v>
      </c>
      <c r="G104" s="28"/>
      <c r="H104" s="29"/>
      <c r="I104" s="27"/>
      <c r="J104" s="28" t="n">
        <v>1250</v>
      </c>
      <c r="K104" s="30"/>
      <c r="L104" s="30"/>
      <c r="M104" s="31" t="str">
        <f aca="false">IF(AND(ISNUMBER(G104),ISNUMBER(H104),ISNUMBER(I104),ISNUMBER(F104)),IF(AND(G104&gt;0,H104&gt;0,I104&gt;0,F104&gt;I104),G104*H104/I104*LN(F104/(F104-I104)),"N/A"),"N/A")</f>
        <v>N/A</v>
      </c>
      <c r="N104" s="0" t="str">
        <f aca="false">IF(ISNUMBER(M104),IF(AND(H104&gt;=$B$7,G104/(F104*$B$9)&lt;$B$8),"croisière","fusée"),"N/A")</f>
        <v>N/A</v>
      </c>
      <c r="O104" s="32" t="str">
        <f aca="false">IF(N104="fusée",MIN(M104,IF(C104="Jeu de base",$B$4,$B$5)),IF(N104="croisière",$B$6*SQRT(G104),"N/A"))</f>
        <v>N/A</v>
      </c>
      <c r="P104" s="32" t="n">
        <f aca="false">IF(E104="propulsé",IF(ISNUMBER(O104),IF(AND(ISNUMBER(K104),ISNUMBER(L104)),MEDIAN(K104,L104,O104),IF(ISNUMBER(L104),L104,IF(ISNUMBER(K104),K104,O104))),IF(ISNUMBER(K104),K104,"N/A")),IF(E104="arme à feu",IF(ISNUMBER(J104),IF(ISNUMBER(K104),MIN(J104,K104),J104),"N/A"),"N/A"))</f>
        <v>1250</v>
      </c>
      <c r="Q104" s="0" t="str">
        <f aca="false">IF(NOT(ISNUMBER(P104)),"aucune vitesse définie",IF(E104="arme à feu",IF(AND(ISNUMBER(K104),ISNUMBER(J104),K104&lt;J104),"vitesse max fixée (inférieure à la bouche)","vitesse initiale (bouche)"),IF(AND(ISNUMBER(K104),ISNUMBER(L104)),"médiane fichier / wiki / calcul",IF(ISNUMBER(L104),"wiki Delta-V",IF(ISNUMBER(K104),"vitesse fixée du fichier","calcul ("&amp;N104&amp;IF(AND(N104="fusée",M104&gt;O104),", plafonné","")&amp;")")))))</f>
        <v>vitesse initiale (bouche)</v>
      </c>
      <c r="R104" s="32" t="n">
        <f aca="false">IF(ISNUMBER(P104),IF(E104="arme à feu",IF($B$10=1,P104,"N/A"),P104),"N/A")</f>
        <v>1250</v>
      </c>
      <c r="S104" s="33" t="n">
        <f aca="false">IF(ISNUMBER(R104),ROUND(1+9*(SUMPRODUCT(ISNUMBER($R$21:$R$153)*($R$21:$R$153&lt;=R104))-1)/(COUNT($R$21:$R$153)-1),1),"N/A")</f>
        <v>8.1</v>
      </c>
      <c r="T104" s="34"/>
    </row>
    <row r="105" customFormat="false" ht="15" hidden="false" customHeight="false" outlineLevel="0" collapsed="false">
      <c r="A105" s="0" t="str">
        <f aca="false">B105&amp;"|"&amp;C105</f>
        <v>20mm Rotary Cannon (LO-RPM)|Aryx FS-41 Eclipse</v>
      </c>
      <c r="B105" s="0" t="s">
        <v>162</v>
      </c>
      <c r="C105" s="0" t="s">
        <v>161</v>
      </c>
      <c r="D105" s="0" t="s">
        <v>64</v>
      </c>
      <c r="E105" s="0" t="str">
        <f aca="false">IF(ISNUMBER(G105),"propulsé",IF(D105="Canon / mitrailleuse / lance-grenade","arme à feu","autre"))</f>
        <v>arme à feu</v>
      </c>
      <c r="F105" s="27" t="n">
        <v>0.27</v>
      </c>
      <c r="G105" s="28"/>
      <c r="H105" s="29"/>
      <c r="I105" s="27"/>
      <c r="J105" s="28" t="n">
        <v>1250</v>
      </c>
      <c r="K105" s="30"/>
      <c r="L105" s="30"/>
      <c r="M105" s="31" t="str">
        <f aca="false">IF(AND(ISNUMBER(G105),ISNUMBER(H105),ISNUMBER(I105),ISNUMBER(F105)),IF(AND(G105&gt;0,H105&gt;0,I105&gt;0,F105&gt;I105),G105*H105/I105*LN(F105/(F105-I105)),"N/A"),"N/A")</f>
        <v>N/A</v>
      </c>
      <c r="N105" s="0" t="str">
        <f aca="false">IF(ISNUMBER(M105),IF(AND(H105&gt;=$B$7,G105/(F105*$B$9)&lt;$B$8),"croisière","fusée"),"N/A")</f>
        <v>N/A</v>
      </c>
      <c r="O105" s="32" t="str">
        <f aca="false">IF(N105="fusée",MIN(M105,IF(C105="Jeu de base",$B$4,$B$5)),IF(N105="croisière",$B$6*SQRT(G105),"N/A"))</f>
        <v>N/A</v>
      </c>
      <c r="P105" s="32" t="n">
        <f aca="false">IF(E105="propulsé",IF(ISNUMBER(O105),IF(AND(ISNUMBER(K105),ISNUMBER(L105)),MEDIAN(K105,L105,O105),IF(ISNUMBER(L105),L105,IF(ISNUMBER(K105),K105,O105))),IF(ISNUMBER(K105),K105,"N/A")),IF(E105="arme à feu",IF(ISNUMBER(J105),IF(ISNUMBER(K105),MIN(J105,K105),J105),"N/A"),"N/A"))</f>
        <v>1250</v>
      </c>
      <c r="Q105" s="0" t="str">
        <f aca="false">IF(NOT(ISNUMBER(P105)),"aucune vitesse définie",IF(E105="arme à feu",IF(AND(ISNUMBER(K105),ISNUMBER(J105),K105&lt;J105),"vitesse max fixée (inférieure à la bouche)","vitesse initiale (bouche)"),IF(AND(ISNUMBER(K105),ISNUMBER(L105)),"médiane fichier / wiki / calcul",IF(ISNUMBER(L105),"wiki Delta-V",IF(ISNUMBER(K105),"vitesse fixée du fichier","calcul ("&amp;N105&amp;IF(AND(N105="fusée",M105&gt;O105),", plafonné","")&amp;")")))))</f>
        <v>vitesse initiale (bouche)</v>
      </c>
      <c r="R105" s="32" t="n">
        <f aca="false">IF(ISNUMBER(P105),IF(E105="arme à feu",IF($B$10=1,P105,"N/A"),P105),"N/A")</f>
        <v>1250</v>
      </c>
      <c r="S105" s="33" t="n">
        <f aca="false">IF(ISNUMBER(R105),ROUND(1+9*(SUMPRODUCT(ISNUMBER($R$21:$R$153)*($R$21:$R$153&lt;=R105))-1)/(COUNT($R$21:$R$153)-1),1),"N/A")</f>
        <v>8.1</v>
      </c>
      <c r="T105" s="34"/>
    </row>
    <row r="106" customFormat="false" ht="15" hidden="false" customHeight="false" outlineLevel="0" collapsed="false">
      <c r="A106" s="0" t="str">
        <f aca="false">B106&amp;"|"&amp;C106</f>
        <v>30mm Autocannon|Aryx FS-41 Eclipse</v>
      </c>
      <c r="B106" s="0" t="s">
        <v>163</v>
      </c>
      <c r="C106" s="0" t="s">
        <v>161</v>
      </c>
      <c r="D106" s="0" t="s">
        <v>64</v>
      </c>
      <c r="E106" s="0" t="str">
        <f aca="false">IF(ISNUMBER(G106),"propulsé",IF(D106="Canon / mitrailleuse / lance-grenade","arme à feu","autre"))</f>
        <v>arme à feu</v>
      </c>
      <c r="F106" s="27" t="n">
        <v>1.4</v>
      </c>
      <c r="G106" s="28"/>
      <c r="H106" s="29"/>
      <c r="I106" s="27"/>
      <c r="J106" s="28" t="n">
        <v>1175</v>
      </c>
      <c r="K106" s="30"/>
      <c r="L106" s="30"/>
      <c r="M106" s="31" t="str">
        <f aca="false">IF(AND(ISNUMBER(G106),ISNUMBER(H106),ISNUMBER(I106),ISNUMBER(F106)),IF(AND(G106&gt;0,H106&gt;0,I106&gt;0,F106&gt;I106),G106*H106/I106*LN(F106/(F106-I106)),"N/A"),"N/A")</f>
        <v>N/A</v>
      </c>
      <c r="N106" s="0" t="str">
        <f aca="false">IF(ISNUMBER(M106),IF(AND(H106&gt;=$B$7,G106/(F106*$B$9)&lt;$B$8),"croisière","fusée"),"N/A")</f>
        <v>N/A</v>
      </c>
      <c r="O106" s="32" t="str">
        <f aca="false">IF(N106="fusée",MIN(M106,IF(C106="Jeu de base",$B$4,$B$5)),IF(N106="croisière",$B$6*SQRT(G106),"N/A"))</f>
        <v>N/A</v>
      </c>
      <c r="P106" s="32" t="n">
        <f aca="false">IF(E106="propulsé",IF(ISNUMBER(O106),IF(AND(ISNUMBER(K106),ISNUMBER(L106)),MEDIAN(K106,L106,O106),IF(ISNUMBER(L106),L106,IF(ISNUMBER(K106),K106,O106))),IF(ISNUMBER(K106),K106,"N/A")),IF(E106="arme à feu",IF(ISNUMBER(J106),IF(ISNUMBER(K106),MIN(J106,K106),J106),"N/A"),"N/A"))</f>
        <v>1175</v>
      </c>
      <c r="Q106" s="0" t="str">
        <f aca="false">IF(NOT(ISNUMBER(P106)),"aucune vitesse définie",IF(E106="arme à feu",IF(AND(ISNUMBER(K106),ISNUMBER(J106),K106&lt;J106),"vitesse max fixée (inférieure à la bouche)","vitesse initiale (bouche)"),IF(AND(ISNUMBER(K106),ISNUMBER(L106)),"médiane fichier / wiki / calcul",IF(ISNUMBER(L106),"wiki Delta-V",IF(ISNUMBER(K106),"vitesse fixée du fichier","calcul ("&amp;N106&amp;IF(AND(N106="fusée",M106&gt;O106),", plafonné","")&amp;")")))))</f>
        <v>vitesse initiale (bouche)</v>
      </c>
      <c r="R106" s="32" t="n">
        <f aca="false">IF(ISNUMBER(P106),IF(E106="arme à feu",IF($B$10=1,P106,"N/A"),P106),"N/A")</f>
        <v>1175</v>
      </c>
      <c r="S106" s="33" t="n">
        <f aca="false">IF(ISNUMBER(R106),ROUND(1+9*(SUMPRODUCT(ISNUMBER($R$21:$R$153)*($R$21:$R$153&lt;=R106))-1)/(COUNT($R$21:$R$153)-1),1),"N/A")</f>
        <v>7.7</v>
      </c>
      <c r="T106" s="34"/>
    </row>
    <row r="107" customFormat="false" ht="15" hidden="false" customHeight="false" outlineLevel="0" collapsed="false">
      <c r="A107" s="0" t="str">
        <f aca="false">B107&amp;"|"&amp;C107</f>
        <v>AAM-45 Sabre|Aryx FS-41 Eclipse</v>
      </c>
      <c r="B107" s="0" t="s">
        <v>164</v>
      </c>
      <c r="C107" s="0" t="s">
        <v>161</v>
      </c>
      <c r="D107" s="0" t="s">
        <v>97</v>
      </c>
      <c r="E107" s="0" t="str">
        <f aca="false">IF(ISNUMBER(G107),"propulsé",IF(D107="Canon / mitrailleuse / lance-grenade","arme à feu","autre"))</f>
        <v>propulsé</v>
      </c>
      <c r="F107" s="27" t="n">
        <v>500</v>
      </c>
      <c r="G107" s="28" t="n">
        <v>107500</v>
      </c>
      <c r="H107" s="29" t="n">
        <v>60</v>
      </c>
      <c r="I107" s="27" t="n">
        <v>90</v>
      </c>
      <c r="J107" s="28"/>
      <c r="K107" s="30"/>
      <c r="L107" s="30"/>
      <c r="M107" s="31" t="n">
        <f aca="false">IF(AND(ISNUMBER(G107),ISNUMBER(H107),ISNUMBER(I107),ISNUMBER(F107)),IF(AND(G107&gt;0,H107&gt;0,I107&gt;0,F107&gt;I107),G107*H107/I107*LN(F107/(F107-I107)),"N/A"),"N/A")</f>
        <v>14222.3172752084</v>
      </c>
      <c r="N107" s="0" t="str">
        <f aca="false">IF(ISNUMBER(M107),IF(AND(H107&gt;=$B$7,G107/(F107*$B$9)&lt;$B$8),"croisière","fusée"),"N/A")</f>
        <v>fusée</v>
      </c>
      <c r="O107" s="32" t="n">
        <f aca="false">IF(N107="fusée",MIN(M107,IF(C107="Jeu de base",$B$4,$B$5)),IF(N107="croisière",$B$6*SQRT(G107),"N/A"))</f>
        <v>2000</v>
      </c>
      <c r="P107" s="32" t="n">
        <f aca="false">IF(E107="propulsé",IF(ISNUMBER(O107),IF(AND(ISNUMBER(K107),ISNUMBER(L107)),MEDIAN(K107,L107,O107),IF(ISNUMBER(L107),L107,IF(ISNUMBER(K107),K107,O107))),IF(ISNUMBER(K107),K107,"N/A")),IF(E107="arme à feu",IF(ISNUMBER(J107),IF(ISNUMBER(K107),MIN(J107,K107),J107),"N/A"),"N/A"))</f>
        <v>2000</v>
      </c>
      <c r="Q107" s="0" t="str">
        <f aca="false">IF(NOT(ISNUMBER(P107)),"aucune vitesse définie",IF(E107="arme à feu",IF(AND(ISNUMBER(K107),ISNUMBER(J107),K107&lt;J107),"vitesse max fixée (inférieure à la bouche)","vitesse initiale (bouche)"),IF(AND(ISNUMBER(K107),ISNUMBER(L107)),"médiane fichier / wiki / calcul",IF(ISNUMBER(L107),"wiki Delta-V",IF(ISNUMBER(K107),"vitesse fixée du fichier","calcul ("&amp;N107&amp;IF(AND(N107="fusée",M107&gt;O107),", plafonné","")&amp;")")))))</f>
        <v>calcul (fusée, plafonné)</v>
      </c>
      <c r="R107" s="32" t="n">
        <f aca="false">IF(ISNUMBER(P107),IF(E107="arme à feu",IF($B$10=1,P107,"N/A"),P107),"N/A")</f>
        <v>2000</v>
      </c>
      <c r="S107" s="33" t="n">
        <f aca="false">IF(ISNUMBER(R107),ROUND(1+9*(SUMPRODUCT(ISNUMBER($R$21:$R$153)*($R$21:$R$153&lt;=R107))-1)/(COUNT($R$21:$R$153)-1),1),"N/A")</f>
        <v>9.5</v>
      </c>
      <c r="T107" s="34" t="n">
        <v>9.1</v>
      </c>
    </row>
    <row r="108" customFormat="false" ht="15" hidden="false" customHeight="false" outlineLevel="0" collapsed="false">
      <c r="A108" s="0" t="str">
        <f aca="false">B108&amp;"|"&amp;C108</f>
        <v>SAM-85 Whirlwind|Aryx FS-41 Eclipse</v>
      </c>
      <c r="B108" s="0" t="s">
        <v>166</v>
      </c>
      <c r="C108" s="0" t="s">
        <v>161</v>
      </c>
      <c r="D108" s="0" t="s">
        <v>97</v>
      </c>
      <c r="E108" s="0" t="str">
        <f aca="false">IF(ISNUMBER(G108),"propulsé",IF(D108="Canon / mitrailleuse / lance-grenade","arme à feu","autre"))</f>
        <v>propulsé</v>
      </c>
      <c r="F108" s="27" t="n">
        <v>250</v>
      </c>
      <c r="G108" s="28" t="n">
        <v>27500.1</v>
      </c>
      <c r="H108" s="29" t="n">
        <v>10</v>
      </c>
      <c r="I108" s="27" t="n">
        <v>68.01</v>
      </c>
      <c r="J108" s="28"/>
      <c r="K108" s="30"/>
      <c r="L108" s="30"/>
      <c r="M108" s="31" t="n">
        <f aca="false">IF(AND(ISNUMBER(G108),ISNUMBER(H108),ISNUMBER(I108),ISNUMBER(F108)),IF(AND(G108&gt;0,H108&gt;0,I108&gt;0,F108&gt;I108),G108*H108/I108*LN(F108/(F108-I108)),"N/A"),"N/A")</f>
        <v>1283.86033348637</v>
      </c>
      <c r="N108" s="0" t="str">
        <f aca="false">IF(ISNUMBER(M108),IF(AND(H108&gt;=$B$7,G108/(F108*$B$9)&lt;$B$8),"croisière","fusée"),"N/A")</f>
        <v>fusée</v>
      </c>
      <c r="O108" s="32" t="n">
        <f aca="false">IF(N108="fusée",MIN(M108,IF(C108="Jeu de base",$B$4,$B$5)),IF(N108="croisière",$B$6*SQRT(G108),"N/A"))</f>
        <v>1283.86033348637</v>
      </c>
      <c r="P108" s="32" t="n">
        <f aca="false">IF(E108="propulsé",IF(ISNUMBER(O108),IF(AND(ISNUMBER(K108),ISNUMBER(L108)),MEDIAN(K108,L108,O108),IF(ISNUMBER(L108),L108,IF(ISNUMBER(K108),K108,O108))),IF(ISNUMBER(K108),K108,"N/A")),IF(E108="arme à feu",IF(ISNUMBER(J108),IF(ISNUMBER(K108),MIN(J108,K108),J108),"N/A"),"N/A"))</f>
        <v>1283.86033348637</v>
      </c>
      <c r="Q108" s="0" t="str">
        <f aca="false">IF(NOT(ISNUMBER(P108)),"aucune vitesse définie",IF(E108="arme à feu",IF(AND(ISNUMBER(K108),ISNUMBER(J108),K108&lt;J108),"vitesse max fixée (inférieure à la bouche)","vitesse initiale (bouche)"),IF(AND(ISNUMBER(K108),ISNUMBER(L108)),"médiane fichier / wiki / calcul",IF(ISNUMBER(L108),"wiki Delta-V",IF(ISNUMBER(K108),"vitesse fixée du fichier","calcul ("&amp;N108&amp;IF(AND(N108="fusée",M108&gt;O108),", plafonné","")&amp;")")))))</f>
        <v>calcul (fusée)</v>
      </c>
      <c r="R108" s="32" t="n">
        <f aca="false">IF(ISNUMBER(P108),IF(E108="arme à feu",IF($B$10=1,P108,"N/A"),P108),"N/A")</f>
        <v>1283.86033348637</v>
      </c>
      <c r="S108" s="33" t="n">
        <f aca="false">IF(ISNUMBER(R108),ROUND(1+9*(SUMPRODUCT(ISNUMBER($R$21:$R$153)*($R$21:$R$153&lt;=R108))-1)/(COUNT($R$21:$R$153)-1),1),"N/A")</f>
        <v>8.4</v>
      </c>
      <c r="T108" s="34" t="n">
        <v>5.1</v>
      </c>
    </row>
    <row r="109" customFormat="false" ht="15" hidden="false" customHeight="false" outlineLevel="0" collapsed="false">
      <c r="A109" s="0" t="str">
        <f aca="false">B109&amp;"|"&amp;C109</f>
        <v>200kW Blue Laser|Aryx FS-41 Eclipse</v>
      </c>
      <c r="B109" s="0" t="s">
        <v>167</v>
      </c>
      <c r="C109" s="0" t="s">
        <v>161</v>
      </c>
      <c r="D109" s="0" t="s">
        <v>151</v>
      </c>
      <c r="E109" s="0" t="str">
        <f aca="false">IF(ISNUMBER(G109),"propulsé",IF(D109="Canon / mitrailleuse / lance-grenade","arme à feu","autre"))</f>
        <v>autre</v>
      </c>
      <c r="F109" s="27" t="n">
        <v>0</v>
      </c>
      <c r="G109" s="28"/>
      <c r="H109" s="29"/>
      <c r="I109" s="27"/>
      <c r="J109" s="28" t="n">
        <v>300000000</v>
      </c>
      <c r="K109" s="30"/>
      <c r="L109" s="30"/>
      <c r="M109" s="31" t="str">
        <f aca="false">IF(AND(ISNUMBER(G109),ISNUMBER(H109),ISNUMBER(I109),ISNUMBER(F109)),IF(AND(G109&gt;0,H109&gt;0,I109&gt;0,F109&gt;I109),G109*H109/I109*LN(F109/(F109-I109)),"N/A"),"N/A")</f>
        <v>N/A</v>
      </c>
      <c r="N109" s="0" t="str">
        <f aca="false">IF(ISNUMBER(M109),IF(AND(H109&gt;=$B$7,G109/(F109*$B$9)&lt;$B$8),"croisière","fusée"),"N/A")</f>
        <v>N/A</v>
      </c>
      <c r="O109" s="32" t="str">
        <f aca="false">IF(N109="fusée",MIN(M109,IF(C109="Jeu de base",$B$4,$B$5)),IF(N109="croisière",$B$6*SQRT(G109),"N/A"))</f>
        <v>N/A</v>
      </c>
      <c r="P109" s="32" t="str">
        <f aca="false">IF(E109="propulsé",IF(ISNUMBER(O109),IF(AND(ISNUMBER(K109),ISNUMBER(L109)),MEDIAN(K109,L109,O109),IF(ISNUMBER(L109),L109,IF(ISNUMBER(K109),K109,O109))),IF(ISNUMBER(K109),K109,"N/A")),IF(E109="arme à feu",IF(ISNUMBER(J109),IF(ISNUMBER(K109),MIN(J109,K109),J109),"N/A"),"N/A"))</f>
        <v>N/A</v>
      </c>
      <c r="Q109" s="0" t="str">
        <f aca="false">IF(NOT(ISNUMBER(P109)),"aucune vitesse définie",IF(E109="arme à feu",IF(AND(ISNUMBER(K109),ISNUMBER(J109),K109&lt;J109),"vitesse max fixée (inférieure à la bouche)","vitesse initiale (bouche)"),IF(AND(ISNUMBER(K109),ISNUMBER(L109)),"médiane fichier / wiki / calcul",IF(ISNUMBER(L109),"wiki Delta-V",IF(ISNUMBER(K109),"vitesse fixée du fichier","calcul ("&amp;N109&amp;IF(AND(N109="fusée",M109&gt;O109),", plafonné","")&amp;")")))))</f>
        <v>aucune vitesse définie</v>
      </c>
      <c r="R109" s="32" t="str">
        <f aca="false">IF(ISNUMBER(P109),IF(E109="arme à feu",IF($B$10=1,P109,"N/A"),P109),"N/A")</f>
        <v>N/A</v>
      </c>
      <c r="S109" s="33" t="str">
        <f aca="false">IF(ISNUMBER(R109),ROUND(1+9*(SUMPRODUCT(ISNUMBER($R$21:$R$153)*($R$21:$R$153&lt;=R109))-1)/(COUNT($R$21:$R$153)-1),1),"N/A")</f>
        <v>N/A</v>
      </c>
      <c r="T109" s="34"/>
    </row>
    <row r="110" customFormat="false" ht="15" hidden="false" customHeight="false" outlineLevel="0" collapsed="false">
      <c r="A110" s="0" t="str">
        <f aca="false">B110&amp;"|"&amp;C110</f>
        <v>105mm Cannon|Aryx MC-260 Chimera</v>
      </c>
      <c r="B110" s="0" t="s">
        <v>168</v>
      </c>
      <c r="C110" s="0" t="s">
        <v>169</v>
      </c>
      <c r="D110" s="0" t="s">
        <v>64</v>
      </c>
      <c r="E110" s="0" t="str">
        <f aca="false">IF(ISNUMBER(G110),"propulsé",IF(D110="Canon / mitrailleuse / lance-grenade","arme à feu","autre"))</f>
        <v>arme à feu</v>
      </c>
      <c r="F110" s="27" t="n">
        <v>22</v>
      </c>
      <c r="G110" s="28"/>
      <c r="H110" s="29"/>
      <c r="I110" s="27"/>
      <c r="J110" s="28" t="n">
        <v>1865</v>
      </c>
      <c r="K110" s="30"/>
      <c r="L110" s="30"/>
      <c r="M110" s="31" t="str">
        <f aca="false">IF(AND(ISNUMBER(G110),ISNUMBER(H110),ISNUMBER(I110),ISNUMBER(F110)),IF(AND(G110&gt;0,H110&gt;0,I110&gt;0,F110&gt;I110),G110*H110/I110*LN(F110/(F110-I110)),"N/A"),"N/A")</f>
        <v>N/A</v>
      </c>
      <c r="N110" s="0" t="str">
        <f aca="false">IF(ISNUMBER(M110),IF(AND(H110&gt;=$B$7,G110/(F110*$B$9)&lt;$B$8),"croisière","fusée"),"N/A")</f>
        <v>N/A</v>
      </c>
      <c r="O110" s="32" t="str">
        <f aca="false">IF(N110="fusée",MIN(M110,IF(C110="Jeu de base",$B$4,$B$5)),IF(N110="croisière",$B$6*SQRT(G110),"N/A"))</f>
        <v>N/A</v>
      </c>
      <c r="P110" s="32" t="n">
        <f aca="false">IF(E110="propulsé",IF(ISNUMBER(O110),IF(AND(ISNUMBER(K110),ISNUMBER(L110)),MEDIAN(K110,L110,O110),IF(ISNUMBER(L110),L110,IF(ISNUMBER(K110),K110,O110))),IF(ISNUMBER(K110),K110,"N/A")),IF(E110="arme à feu",IF(ISNUMBER(J110),IF(ISNUMBER(K110),MIN(J110,K110),J110),"N/A"),"N/A"))</f>
        <v>1865</v>
      </c>
      <c r="Q110" s="0" t="str">
        <f aca="false">IF(NOT(ISNUMBER(P110)),"aucune vitesse définie",IF(E110="arme à feu",IF(AND(ISNUMBER(K110),ISNUMBER(J110),K110&lt;J110),"vitesse max fixée (inférieure à la bouche)","vitesse initiale (bouche)"),IF(AND(ISNUMBER(K110),ISNUMBER(L110)),"médiane fichier / wiki / calcul",IF(ISNUMBER(L110),"wiki Delta-V",IF(ISNUMBER(K110),"vitesse fixée du fichier","calcul ("&amp;N110&amp;IF(AND(N110="fusée",M110&gt;O110),", plafonné","")&amp;")")))))</f>
        <v>vitesse initiale (bouche)</v>
      </c>
      <c r="R110" s="32" t="n">
        <f aca="false">IF(ISNUMBER(P110),IF(E110="arme à feu",IF($B$10=1,P110,"N/A"),P110),"N/A")</f>
        <v>1865</v>
      </c>
      <c r="S110" s="33" t="n">
        <f aca="false">IF(ISNUMBER(R110),ROUND(1+9*(SUMPRODUCT(ISNUMBER($R$21:$R$153)*($R$21:$R$153&lt;=R110))-1)/(COUNT($R$21:$R$153)-1),1),"N/A")</f>
        <v>8.9</v>
      </c>
      <c r="T110" s="34"/>
    </row>
    <row r="111" customFormat="false" ht="15" hidden="false" customHeight="false" outlineLevel="0" collapsed="false">
      <c r="A111" s="0" t="str">
        <f aca="false">B111&amp;"|"&amp;C111</f>
        <v>105mm Howitzer|Aryx MC-260 Chimera</v>
      </c>
      <c r="B111" s="0" t="s">
        <v>170</v>
      </c>
      <c r="C111" s="0" t="s">
        <v>169</v>
      </c>
      <c r="D111" s="0" t="s">
        <v>64</v>
      </c>
      <c r="E111" s="0" t="str">
        <f aca="false">IF(ISNUMBER(G111),"propulsé",IF(D111="Canon / mitrailleuse / lance-grenade","arme à feu","autre"))</f>
        <v>arme à feu</v>
      </c>
      <c r="F111" s="27" t="n">
        <v>8</v>
      </c>
      <c r="G111" s="28"/>
      <c r="H111" s="29"/>
      <c r="I111" s="27"/>
      <c r="J111" s="28" t="n">
        <v>820</v>
      </c>
      <c r="K111" s="30"/>
      <c r="L111" s="30"/>
      <c r="M111" s="31" t="str">
        <f aca="false">IF(AND(ISNUMBER(G111),ISNUMBER(H111),ISNUMBER(I111),ISNUMBER(F111)),IF(AND(G111&gt;0,H111&gt;0,I111&gt;0,F111&gt;I111),G111*H111/I111*LN(F111/(F111-I111)),"N/A"),"N/A")</f>
        <v>N/A</v>
      </c>
      <c r="N111" s="0" t="str">
        <f aca="false">IF(ISNUMBER(M111),IF(AND(H111&gt;=$B$7,G111/(F111*$B$9)&lt;$B$8),"croisière","fusée"),"N/A")</f>
        <v>N/A</v>
      </c>
      <c r="O111" s="32" t="str">
        <f aca="false">IF(N111="fusée",MIN(M111,IF(C111="Jeu de base",$B$4,$B$5)),IF(N111="croisière",$B$6*SQRT(G111),"N/A"))</f>
        <v>N/A</v>
      </c>
      <c r="P111" s="32" t="n">
        <f aca="false">IF(E111="propulsé",IF(ISNUMBER(O111),IF(AND(ISNUMBER(K111),ISNUMBER(L111)),MEDIAN(K111,L111,O111),IF(ISNUMBER(L111),L111,IF(ISNUMBER(K111),K111,O111))),IF(ISNUMBER(K111),K111,"N/A")),IF(E111="arme à feu",IF(ISNUMBER(J111),IF(ISNUMBER(K111),MIN(J111,K111),J111),"N/A"),"N/A"))</f>
        <v>820</v>
      </c>
      <c r="Q111" s="0" t="str">
        <f aca="false">IF(NOT(ISNUMBER(P111)),"aucune vitesse définie",IF(E111="arme à feu",IF(AND(ISNUMBER(K111),ISNUMBER(J111),K111&lt;J111),"vitesse max fixée (inférieure à la bouche)","vitesse initiale (bouche)"),IF(AND(ISNUMBER(K111),ISNUMBER(L111)),"médiane fichier / wiki / calcul",IF(ISNUMBER(L111),"wiki Delta-V",IF(ISNUMBER(K111),"vitesse fixée du fichier","calcul ("&amp;N111&amp;IF(AND(N111="fusée",M111&gt;O111),", plafonné","")&amp;")")))))</f>
        <v>vitesse initiale (bouche)</v>
      </c>
      <c r="R111" s="32" t="n">
        <f aca="false">IF(ISNUMBER(P111),IF(E111="arme à feu",IF($B$10=1,P111,"N/A"),P111),"N/A")</f>
        <v>820</v>
      </c>
      <c r="S111" s="33" t="n">
        <f aca="false">IF(ISNUMBER(R111),ROUND(1+9*(SUMPRODUCT(ISNUMBER($R$21:$R$153)*($R$21:$R$153&lt;=R111))-1)/(COUNT($R$21:$R$153)-1),1),"N/A")</f>
        <v>3.8</v>
      </c>
      <c r="T111" s="34"/>
    </row>
    <row r="112" customFormat="false" ht="15" hidden="false" customHeight="false" outlineLevel="0" collapsed="false">
      <c r="A112" s="0" t="str">
        <f aca="false">B112&amp;"|"&amp;C112</f>
        <v>127mm Railgun|Aryx MC-260 Chimera</v>
      </c>
      <c r="B112" s="0" t="s">
        <v>171</v>
      </c>
      <c r="C112" s="0" t="s">
        <v>169</v>
      </c>
      <c r="D112" s="0" t="s">
        <v>64</v>
      </c>
      <c r="E112" s="0" t="str">
        <f aca="false">IF(ISNUMBER(G112),"propulsé",IF(D112="Canon / mitrailleuse / lance-grenade","arme à feu","autre"))</f>
        <v>arme à feu</v>
      </c>
      <c r="F112" s="27" t="n">
        <v>42</v>
      </c>
      <c r="G112" s="28"/>
      <c r="H112" s="29"/>
      <c r="I112" s="27"/>
      <c r="J112" s="28" t="n">
        <v>3000</v>
      </c>
      <c r="K112" s="30"/>
      <c r="L112" s="30"/>
      <c r="M112" s="31" t="str">
        <f aca="false">IF(AND(ISNUMBER(G112),ISNUMBER(H112),ISNUMBER(I112),ISNUMBER(F112)),IF(AND(G112&gt;0,H112&gt;0,I112&gt;0,F112&gt;I112),G112*H112/I112*LN(F112/(F112-I112)),"N/A"),"N/A")</f>
        <v>N/A</v>
      </c>
      <c r="N112" s="0" t="str">
        <f aca="false">IF(ISNUMBER(M112),IF(AND(H112&gt;=$B$7,G112/(F112*$B$9)&lt;$B$8),"croisière","fusée"),"N/A")</f>
        <v>N/A</v>
      </c>
      <c r="O112" s="32" t="str">
        <f aca="false">IF(N112="fusée",MIN(M112,IF(C112="Jeu de base",$B$4,$B$5)),IF(N112="croisière",$B$6*SQRT(G112),"N/A"))</f>
        <v>N/A</v>
      </c>
      <c r="P112" s="32" t="n">
        <f aca="false">IF(E112="propulsé",IF(ISNUMBER(O112),IF(AND(ISNUMBER(K112),ISNUMBER(L112)),MEDIAN(K112,L112,O112),IF(ISNUMBER(L112),L112,IF(ISNUMBER(K112),K112,O112))),IF(ISNUMBER(K112),K112,"N/A")),IF(E112="arme à feu",IF(ISNUMBER(J112),IF(ISNUMBER(K112),MIN(J112,K112),J112),"N/A"),"N/A"))</f>
        <v>3000</v>
      </c>
      <c r="Q112" s="0" t="str">
        <f aca="false">IF(NOT(ISNUMBER(P112)),"aucune vitesse définie",IF(E112="arme à feu",IF(AND(ISNUMBER(K112),ISNUMBER(J112),K112&lt;J112),"vitesse max fixée (inférieure à la bouche)","vitesse initiale (bouche)"),IF(AND(ISNUMBER(K112),ISNUMBER(L112)),"médiane fichier / wiki / calcul",IF(ISNUMBER(L112),"wiki Delta-V",IF(ISNUMBER(K112),"vitesse fixée du fichier","calcul ("&amp;N112&amp;IF(AND(N112="fusée",M112&gt;O112),", plafonné","")&amp;")")))))</f>
        <v>vitesse initiale (bouche)</v>
      </c>
      <c r="R112" s="32" t="n">
        <f aca="false">IF(ISNUMBER(P112),IF(E112="arme à feu",IF($B$10=1,P112,"N/A"),P112),"N/A")</f>
        <v>3000</v>
      </c>
      <c r="S112" s="33" t="n">
        <f aca="false">IF(ISNUMBER(R112),ROUND(1+9*(SUMPRODUCT(ISNUMBER($R$21:$R$153)*($R$21:$R$153&lt;=R112))-1)/(COUNT($R$21:$R$153)-1),1),"N/A")</f>
        <v>9.9</v>
      </c>
      <c r="T112" s="34"/>
    </row>
    <row r="113" customFormat="false" ht="15" hidden="false" customHeight="false" outlineLevel="0" collapsed="false">
      <c r="A113" s="0" t="str">
        <f aca="false">B113&amp;"|"&amp;C113</f>
        <v>152mm Cannon|Aryx MC-260 Chimera</v>
      </c>
      <c r="B113" s="0" t="s">
        <v>172</v>
      </c>
      <c r="C113" s="0" t="s">
        <v>169</v>
      </c>
      <c r="D113" s="0" t="s">
        <v>64</v>
      </c>
      <c r="E113" s="0" t="str">
        <f aca="false">IF(ISNUMBER(G113),"propulsé",IF(D113="Canon / mitrailleuse / lance-grenade","arme à feu","autre"))</f>
        <v>arme à feu</v>
      </c>
      <c r="F113" s="27" t="n">
        <v>45</v>
      </c>
      <c r="G113" s="28"/>
      <c r="H113" s="29"/>
      <c r="I113" s="27"/>
      <c r="J113" s="28" t="n">
        <v>850</v>
      </c>
      <c r="K113" s="30" t="n">
        <v>850</v>
      </c>
      <c r="L113" s="30"/>
      <c r="M113" s="31" t="str">
        <f aca="false">IF(AND(ISNUMBER(G113),ISNUMBER(H113),ISNUMBER(I113),ISNUMBER(F113)),IF(AND(G113&gt;0,H113&gt;0,I113&gt;0,F113&gt;I113),G113*H113/I113*LN(F113/(F113-I113)),"N/A"),"N/A")</f>
        <v>N/A</v>
      </c>
      <c r="N113" s="0" t="str">
        <f aca="false">IF(ISNUMBER(M113),IF(AND(H113&gt;=$B$7,G113/(F113*$B$9)&lt;$B$8),"croisière","fusée"),"N/A")</f>
        <v>N/A</v>
      </c>
      <c r="O113" s="32" t="str">
        <f aca="false">IF(N113="fusée",MIN(M113,IF(C113="Jeu de base",$B$4,$B$5)),IF(N113="croisière",$B$6*SQRT(G113),"N/A"))</f>
        <v>N/A</v>
      </c>
      <c r="P113" s="32" t="n">
        <f aca="false">IF(E113="propulsé",IF(ISNUMBER(O113),IF(AND(ISNUMBER(K113),ISNUMBER(L113)),MEDIAN(K113,L113,O113),IF(ISNUMBER(L113),L113,IF(ISNUMBER(K113),K113,O113))),IF(ISNUMBER(K113),K113,"N/A")),IF(E113="arme à feu",IF(ISNUMBER(J113),IF(ISNUMBER(K113),MIN(J113,K113),J113),"N/A"),"N/A"))</f>
        <v>850</v>
      </c>
      <c r="Q113" s="0" t="str">
        <f aca="false">IF(NOT(ISNUMBER(P113)),"aucune vitesse définie",IF(E113="arme à feu",IF(AND(ISNUMBER(K113),ISNUMBER(J113),K113&lt;J113),"vitesse max fixée (inférieure à la bouche)","vitesse initiale (bouche)"),IF(AND(ISNUMBER(K113),ISNUMBER(L113)),"médiane fichier / wiki / calcul",IF(ISNUMBER(L113),"wiki Delta-V",IF(ISNUMBER(K113),"vitesse fixée du fichier","calcul ("&amp;N113&amp;IF(AND(N113="fusée",M113&gt;O113),", plafonné","")&amp;")")))))</f>
        <v>vitesse initiale (bouche)</v>
      </c>
      <c r="R113" s="32" t="n">
        <f aca="false">IF(ISNUMBER(P113),IF(E113="arme à feu",IF($B$10=1,P113,"N/A"),P113),"N/A")</f>
        <v>850</v>
      </c>
      <c r="S113" s="33" t="n">
        <f aca="false">IF(ISNUMBER(R113),ROUND(1+9*(SUMPRODUCT(ISNUMBER($R$21:$R$153)*($R$21:$R$153&lt;=R113))-1)/(COUNT($R$21:$R$153)-1),1),"N/A")</f>
        <v>4.5</v>
      </c>
      <c r="T113" s="34"/>
    </row>
    <row r="114" customFormat="false" ht="15" hidden="false" customHeight="false" outlineLevel="0" collapsed="false">
      <c r="A114" s="0" t="str">
        <f aca="false">B114&amp;"|"&amp;C114</f>
        <v>30mm Rotary Cannon|Aryx MC-260 Chimera</v>
      </c>
      <c r="B114" s="0" t="s">
        <v>173</v>
      </c>
      <c r="C114" s="0" t="s">
        <v>169</v>
      </c>
      <c r="D114" s="0" t="s">
        <v>64</v>
      </c>
      <c r="E114" s="0" t="str">
        <f aca="false">IF(ISNUMBER(G114),"propulsé",IF(D114="Canon / mitrailleuse / lance-grenade","arme à feu","autre"))</f>
        <v>arme à feu</v>
      </c>
      <c r="F114" s="27" t="n">
        <v>0.1</v>
      </c>
      <c r="G114" s="28"/>
      <c r="H114" s="29"/>
      <c r="I114" s="27"/>
      <c r="J114" s="28" t="n">
        <v>1100</v>
      </c>
      <c r="K114" s="30"/>
      <c r="L114" s="30"/>
      <c r="M114" s="31" t="str">
        <f aca="false">IF(AND(ISNUMBER(G114),ISNUMBER(H114),ISNUMBER(I114),ISNUMBER(F114)),IF(AND(G114&gt;0,H114&gt;0,I114&gt;0,F114&gt;I114),G114*H114/I114*LN(F114/(F114-I114)),"N/A"),"N/A")</f>
        <v>N/A</v>
      </c>
      <c r="N114" s="0" t="str">
        <f aca="false">IF(ISNUMBER(M114),IF(AND(H114&gt;=$B$7,G114/(F114*$B$9)&lt;$B$8),"croisière","fusée"),"N/A")</f>
        <v>N/A</v>
      </c>
      <c r="O114" s="32" t="str">
        <f aca="false">IF(N114="fusée",MIN(M114,IF(C114="Jeu de base",$B$4,$B$5)),IF(N114="croisière",$B$6*SQRT(G114),"N/A"))</f>
        <v>N/A</v>
      </c>
      <c r="P114" s="32" t="n">
        <f aca="false">IF(E114="propulsé",IF(ISNUMBER(O114),IF(AND(ISNUMBER(K114),ISNUMBER(L114)),MEDIAN(K114,L114,O114),IF(ISNUMBER(L114),L114,IF(ISNUMBER(K114),K114,O114))),IF(ISNUMBER(K114),K114,"N/A")),IF(E114="arme à feu",IF(ISNUMBER(J114),IF(ISNUMBER(K114),MIN(J114,K114),J114),"N/A"),"N/A"))</f>
        <v>1100</v>
      </c>
      <c r="Q114" s="0" t="str">
        <f aca="false">IF(NOT(ISNUMBER(P114)),"aucune vitesse définie",IF(E114="arme à feu",IF(AND(ISNUMBER(K114),ISNUMBER(J114),K114&lt;J114),"vitesse max fixée (inférieure à la bouche)","vitesse initiale (bouche)"),IF(AND(ISNUMBER(K114),ISNUMBER(L114)),"médiane fichier / wiki / calcul",IF(ISNUMBER(L114),"wiki Delta-V",IF(ISNUMBER(K114),"vitesse fixée du fichier","calcul ("&amp;N114&amp;IF(AND(N114="fusée",M114&gt;O114),", plafonné","")&amp;")")))))</f>
        <v>vitesse initiale (bouche)</v>
      </c>
      <c r="R114" s="32" t="n">
        <f aca="false">IF(ISNUMBER(P114),IF(E114="arme à feu",IF($B$10=1,P114,"N/A"),P114),"N/A")</f>
        <v>1100</v>
      </c>
      <c r="S114" s="33" t="n">
        <f aca="false">IF(ISNUMBER(R114),ROUND(1+9*(SUMPRODUCT(ISNUMBER($R$21:$R$153)*($R$21:$R$153&lt;=R114))-1)/(COUNT($R$21:$R$153)-1),1),"N/A")</f>
        <v>7.1</v>
      </c>
      <c r="T114" s="34"/>
    </row>
    <row r="115" customFormat="false" ht="15" hidden="false" customHeight="false" outlineLevel="0" collapsed="false">
      <c r="A115" s="0" t="str">
        <f aca="false">B115&amp;"|"&amp;C115</f>
        <v>35mm AA Autocannon|Aryx MC-260 Chimera</v>
      </c>
      <c r="B115" s="0" t="s">
        <v>174</v>
      </c>
      <c r="C115" s="0" t="s">
        <v>169</v>
      </c>
      <c r="D115" s="0" t="s">
        <v>64</v>
      </c>
      <c r="E115" s="0" t="str">
        <f aca="false">IF(ISNUMBER(G115),"propulsé",IF(D115="Canon / mitrailleuse / lance-grenade","arme à feu","autre"))</f>
        <v>arme à feu</v>
      </c>
      <c r="F115" s="27" t="n">
        <v>1.4</v>
      </c>
      <c r="G115" s="28"/>
      <c r="H115" s="29"/>
      <c r="I115" s="27"/>
      <c r="J115" s="28" t="n">
        <v>900</v>
      </c>
      <c r="K115" s="30"/>
      <c r="L115" s="30"/>
      <c r="M115" s="31" t="str">
        <f aca="false">IF(AND(ISNUMBER(G115),ISNUMBER(H115),ISNUMBER(I115),ISNUMBER(F115)),IF(AND(G115&gt;0,H115&gt;0,I115&gt;0,F115&gt;I115),G115*H115/I115*LN(F115/(F115-I115)),"N/A"),"N/A")</f>
        <v>N/A</v>
      </c>
      <c r="N115" s="0" t="str">
        <f aca="false">IF(ISNUMBER(M115),IF(AND(H115&gt;=$B$7,G115/(F115*$B$9)&lt;$B$8),"croisière","fusée"),"N/A")</f>
        <v>N/A</v>
      </c>
      <c r="O115" s="32" t="str">
        <f aca="false">IF(N115="fusée",MIN(M115,IF(C115="Jeu de base",$B$4,$B$5)),IF(N115="croisière",$B$6*SQRT(G115),"N/A"))</f>
        <v>N/A</v>
      </c>
      <c r="P115" s="32" t="n">
        <f aca="false">IF(E115="propulsé",IF(ISNUMBER(O115),IF(AND(ISNUMBER(K115),ISNUMBER(L115)),MEDIAN(K115,L115,O115),IF(ISNUMBER(L115),L115,IF(ISNUMBER(K115),K115,O115))),IF(ISNUMBER(K115),K115,"N/A")),IF(E115="arme à feu",IF(ISNUMBER(J115),IF(ISNUMBER(K115),MIN(J115,K115),J115),"N/A"),"N/A"))</f>
        <v>900</v>
      </c>
      <c r="Q115" s="0" t="str">
        <f aca="false">IF(NOT(ISNUMBER(P115)),"aucune vitesse définie",IF(E115="arme à feu",IF(AND(ISNUMBER(K115),ISNUMBER(J115),K115&lt;J115),"vitesse max fixée (inférieure à la bouche)","vitesse initiale (bouche)"),IF(AND(ISNUMBER(K115),ISNUMBER(L115)),"médiane fichier / wiki / calcul",IF(ISNUMBER(L115),"wiki Delta-V",IF(ISNUMBER(K115),"vitesse fixée du fichier","calcul ("&amp;N115&amp;IF(AND(N115="fusée",M115&gt;O115),", plafonné","")&amp;")")))))</f>
        <v>vitesse initiale (bouche)</v>
      </c>
      <c r="R115" s="32" t="n">
        <f aca="false">IF(ISNUMBER(P115),IF(E115="arme à feu",IF($B$10=1,P115,"N/A"),P115),"N/A")</f>
        <v>900</v>
      </c>
      <c r="S115" s="33" t="n">
        <f aca="false">IF(ISNUMBER(R115),ROUND(1+9*(SUMPRODUCT(ISNUMBER($R$21:$R$153)*($R$21:$R$153&lt;=R115))-1)/(COUNT($R$21:$R$153)-1),1),"N/A")</f>
        <v>4.8</v>
      </c>
      <c r="T115" s="34"/>
    </row>
    <row r="116" customFormat="false" ht="15" hidden="false" customHeight="false" outlineLevel="0" collapsed="false">
      <c r="A116" s="0" t="str">
        <f aca="false">B116&amp;"|"&amp;C116</f>
        <v>57mm Chaingun|Aryx MC-260 Chimera</v>
      </c>
      <c r="B116" s="0" t="s">
        <v>175</v>
      </c>
      <c r="C116" s="0" t="s">
        <v>169</v>
      </c>
      <c r="D116" s="0" t="s">
        <v>64</v>
      </c>
      <c r="E116" s="0" t="str">
        <f aca="false">IF(ISNUMBER(G116),"propulsé",IF(D116="Canon / mitrailleuse / lance-grenade","arme à feu","autre"))</f>
        <v>arme à feu</v>
      </c>
      <c r="F116" s="27" t="n">
        <v>0.25</v>
      </c>
      <c r="G116" s="28"/>
      <c r="H116" s="29"/>
      <c r="I116" s="27"/>
      <c r="J116" s="28" t="n">
        <v>1260</v>
      </c>
      <c r="K116" s="30"/>
      <c r="L116" s="30"/>
      <c r="M116" s="31" t="str">
        <f aca="false">IF(AND(ISNUMBER(G116),ISNUMBER(H116),ISNUMBER(I116),ISNUMBER(F116)),IF(AND(G116&gt;0,H116&gt;0,I116&gt;0,F116&gt;I116),G116*H116/I116*LN(F116/(F116-I116)),"N/A"),"N/A")</f>
        <v>N/A</v>
      </c>
      <c r="N116" s="0" t="str">
        <f aca="false">IF(ISNUMBER(M116),IF(AND(H116&gt;=$B$7,G116/(F116*$B$9)&lt;$B$8),"croisière","fusée"),"N/A")</f>
        <v>N/A</v>
      </c>
      <c r="O116" s="32" t="str">
        <f aca="false">IF(N116="fusée",MIN(M116,IF(C116="Jeu de base",$B$4,$B$5)),IF(N116="croisière",$B$6*SQRT(G116),"N/A"))</f>
        <v>N/A</v>
      </c>
      <c r="P116" s="32" t="n">
        <f aca="false">IF(E116="propulsé",IF(ISNUMBER(O116),IF(AND(ISNUMBER(K116),ISNUMBER(L116)),MEDIAN(K116,L116,O116),IF(ISNUMBER(L116),L116,IF(ISNUMBER(K116),K116,O116))),IF(ISNUMBER(K116),K116,"N/A")),IF(E116="arme à feu",IF(ISNUMBER(J116),IF(ISNUMBER(K116),MIN(J116,K116),J116),"N/A"),"N/A"))</f>
        <v>1260</v>
      </c>
      <c r="Q116" s="0" t="str">
        <f aca="false">IF(NOT(ISNUMBER(P116)),"aucune vitesse définie",IF(E116="arme à feu",IF(AND(ISNUMBER(K116),ISNUMBER(J116),K116&lt;J116),"vitesse max fixée (inférieure à la bouche)","vitesse initiale (bouche)"),IF(AND(ISNUMBER(K116),ISNUMBER(L116)),"médiane fichier / wiki / calcul",IF(ISNUMBER(L116),"wiki Delta-V",IF(ISNUMBER(K116),"vitesse fixée du fichier","calcul ("&amp;N116&amp;IF(AND(N116="fusée",M116&gt;O116),", plafonné","")&amp;")")))))</f>
        <v>vitesse initiale (bouche)</v>
      </c>
      <c r="R116" s="32" t="n">
        <f aca="false">IF(ISNUMBER(P116),IF(E116="arme à feu",IF($B$10=1,P116,"N/A"),P116),"N/A")</f>
        <v>1260</v>
      </c>
      <c r="S116" s="33" t="n">
        <f aca="false">IF(ISNUMBER(R116),ROUND(1+9*(SUMPRODUCT(ISNUMBER($R$21:$R$153)*($R$21:$R$153&lt;=R116))-1)/(COUNT($R$21:$R$153)-1),1),"N/A")</f>
        <v>8.3</v>
      </c>
      <c r="T116" s="34"/>
    </row>
    <row r="117" customFormat="false" ht="15" hidden="false" customHeight="false" outlineLevel="0" collapsed="false">
      <c r="A117" s="0" t="str">
        <f aca="false">B117&amp;"|"&amp;C117</f>
        <v>81mm Mortar|Aryx MC-260 Chimera</v>
      </c>
      <c r="B117" s="0" t="s">
        <v>176</v>
      </c>
      <c r="C117" s="0" t="s">
        <v>169</v>
      </c>
      <c r="D117" s="0" t="s">
        <v>64</v>
      </c>
      <c r="E117" s="0" t="str">
        <f aca="false">IF(ISNUMBER(G117),"propulsé",IF(D117="Canon / mitrailleuse / lance-grenade","arme à feu","autre"))</f>
        <v>arme à feu</v>
      </c>
      <c r="F117" s="27" t="n">
        <v>5</v>
      </c>
      <c r="G117" s="28"/>
      <c r="H117" s="29"/>
      <c r="I117" s="27"/>
      <c r="J117" s="28" t="n">
        <v>300</v>
      </c>
      <c r="K117" s="30" t="n">
        <v>300</v>
      </c>
      <c r="L117" s="30"/>
      <c r="M117" s="31" t="str">
        <f aca="false">IF(AND(ISNUMBER(G117),ISNUMBER(H117),ISNUMBER(I117),ISNUMBER(F117)),IF(AND(G117&gt;0,H117&gt;0,I117&gt;0,F117&gt;I117),G117*H117/I117*LN(F117/(F117-I117)),"N/A"),"N/A")</f>
        <v>N/A</v>
      </c>
      <c r="N117" s="0" t="str">
        <f aca="false">IF(ISNUMBER(M117),IF(AND(H117&gt;=$B$7,G117/(F117*$B$9)&lt;$B$8),"croisière","fusée"),"N/A")</f>
        <v>N/A</v>
      </c>
      <c r="O117" s="32" t="str">
        <f aca="false">IF(N117="fusée",MIN(M117,IF(C117="Jeu de base",$B$4,$B$5)),IF(N117="croisière",$B$6*SQRT(G117),"N/A"))</f>
        <v>N/A</v>
      </c>
      <c r="P117" s="32" t="n">
        <f aca="false">IF(E117="propulsé",IF(ISNUMBER(O117),IF(AND(ISNUMBER(K117),ISNUMBER(L117)),MEDIAN(K117,L117,O117),IF(ISNUMBER(L117),L117,IF(ISNUMBER(K117),K117,O117))),IF(ISNUMBER(K117),K117,"N/A")),IF(E117="arme à feu",IF(ISNUMBER(J117),IF(ISNUMBER(K117),MIN(J117,K117),J117),"N/A"),"N/A"))</f>
        <v>300</v>
      </c>
      <c r="Q117" s="0" t="str">
        <f aca="false">IF(NOT(ISNUMBER(P117)),"aucune vitesse définie",IF(E117="arme à feu",IF(AND(ISNUMBER(K117),ISNUMBER(J117),K117&lt;J117),"vitesse max fixée (inférieure à la bouche)","vitesse initiale (bouche)"),IF(AND(ISNUMBER(K117),ISNUMBER(L117)),"médiane fichier / wiki / calcul",IF(ISNUMBER(L117),"wiki Delta-V",IF(ISNUMBER(K117),"vitesse fixée du fichier","calcul ("&amp;N117&amp;IF(AND(N117="fusée",M117&gt;O117),", plafonné","")&amp;")")))))</f>
        <v>vitesse initiale (bouche)</v>
      </c>
      <c r="R117" s="32" t="n">
        <f aca="false">IF(ISNUMBER(P117),IF(E117="arme à feu",IF($B$10=1,P117,"N/A"),P117),"N/A")</f>
        <v>300</v>
      </c>
      <c r="S117" s="33" t="n">
        <f aca="false">IF(ISNUMBER(R117),ROUND(1+9*(SUMPRODUCT(ISNUMBER($R$21:$R$153)*($R$21:$R$153&lt;=R117))-1)/(COUNT($R$21:$R$153)-1),1),"N/A")</f>
        <v>1.6</v>
      </c>
      <c r="T117" s="34"/>
    </row>
    <row r="118" customFormat="false" ht="15" hidden="false" customHeight="false" outlineLevel="0" collapsed="false">
      <c r="A118" s="0" t="str">
        <f aca="false">B118&amp;"|"&amp;C118</f>
        <v>Radome|Aryx MC-260 Chimera</v>
      </c>
      <c r="B118" s="0" t="s">
        <v>154</v>
      </c>
      <c r="C118" s="0" t="s">
        <v>169</v>
      </c>
      <c r="D118" s="0" t="s">
        <v>151</v>
      </c>
      <c r="E118" s="0" t="str">
        <f aca="false">IF(ISNUMBER(G118),"propulsé",IF(D118="Canon / mitrailleuse / lance-grenade","arme à feu","autre"))</f>
        <v>autre</v>
      </c>
      <c r="F118" s="27" t="n">
        <v>0</v>
      </c>
      <c r="G118" s="28"/>
      <c r="H118" s="29"/>
      <c r="I118" s="27"/>
      <c r="J118" s="28"/>
      <c r="K118" s="30"/>
      <c r="L118" s="30"/>
      <c r="M118" s="31" t="str">
        <f aca="false">IF(AND(ISNUMBER(G118),ISNUMBER(H118),ISNUMBER(I118),ISNUMBER(F118)),IF(AND(G118&gt;0,H118&gt;0,I118&gt;0,F118&gt;I118),G118*H118/I118*LN(F118/(F118-I118)),"N/A"),"N/A")</f>
        <v>N/A</v>
      </c>
      <c r="N118" s="0" t="str">
        <f aca="false">IF(ISNUMBER(M118),IF(AND(H118&gt;=$B$7,G118/(F118*$B$9)&lt;$B$8),"croisière","fusée"),"N/A")</f>
        <v>N/A</v>
      </c>
      <c r="O118" s="32" t="str">
        <f aca="false">IF(N118="fusée",MIN(M118,IF(C118="Jeu de base",$B$4,$B$5)),IF(N118="croisière",$B$6*SQRT(G118),"N/A"))</f>
        <v>N/A</v>
      </c>
      <c r="P118" s="32" t="str">
        <f aca="false">IF(E118="propulsé",IF(ISNUMBER(O118),IF(AND(ISNUMBER(K118),ISNUMBER(L118)),MEDIAN(K118,L118,O118),IF(ISNUMBER(L118),L118,IF(ISNUMBER(K118),K118,O118))),IF(ISNUMBER(K118),K118,"N/A")),IF(E118="arme à feu",IF(ISNUMBER(J118),IF(ISNUMBER(K118),MIN(J118,K118),J118),"N/A"),"N/A"))</f>
        <v>N/A</v>
      </c>
      <c r="Q118" s="0" t="str">
        <f aca="false">IF(NOT(ISNUMBER(P118)),"aucune vitesse définie",IF(E118="arme à feu",IF(AND(ISNUMBER(K118),ISNUMBER(J118),K118&lt;J118),"vitesse max fixée (inférieure à la bouche)","vitesse initiale (bouche)"),IF(AND(ISNUMBER(K118),ISNUMBER(L118)),"médiane fichier / wiki / calcul",IF(ISNUMBER(L118),"wiki Delta-V",IF(ISNUMBER(K118),"vitesse fixée du fichier","calcul ("&amp;N118&amp;IF(AND(N118="fusée",M118&gt;O118),", plafonné","")&amp;")")))))</f>
        <v>aucune vitesse définie</v>
      </c>
      <c r="R118" s="32" t="str">
        <f aca="false">IF(ISNUMBER(P118),IF(E118="arme à feu",IF($B$10=1,P118,"N/A"),P118),"N/A")</f>
        <v>N/A</v>
      </c>
      <c r="S118" s="33" t="str">
        <f aca="false">IF(ISNUMBER(R118),ROUND(1+9*(SUMPRODUCT(ISNUMBER($R$21:$R$153)*($R$21:$R$153&lt;=R118))-1)/(COUNT($R$21:$R$153)-1),1),"N/A")</f>
        <v>N/A</v>
      </c>
      <c r="T118" s="34"/>
    </row>
    <row r="119" customFormat="false" ht="15" hidden="false" customHeight="false" outlineLevel="0" collapsed="false">
      <c r="A119" s="0" t="str">
        <f aca="false">B119&amp;"|"&amp;C119</f>
        <v>37mm Autocannon|Aryx MiG-15</v>
      </c>
      <c r="B119" s="0" t="s">
        <v>177</v>
      </c>
      <c r="C119" s="0" t="s">
        <v>178</v>
      </c>
      <c r="D119" s="0" t="s">
        <v>64</v>
      </c>
      <c r="E119" s="0" t="str">
        <f aca="false">IF(ISNUMBER(G119),"propulsé",IF(D119="Canon / mitrailleuse / lance-grenade","arme à feu","autre"))</f>
        <v>arme à feu</v>
      </c>
      <c r="F119" s="27" t="n">
        <v>0.4</v>
      </c>
      <c r="G119" s="28"/>
      <c r="H119" s="29"/>
      <c r="I119" s="27"/>
      <c r="J119" s="28" t="n">
        <v>800</v>
      </c>
      <c r="K119" s="30" t="n">
        <v>800</v>
      </c>
      <c r="L119" s="30"/>
      <c r="M119" s="31" t="str">
        <f aca="false">IF(AND(ISNUMBER(G119),ISNUMBER(H119),ISNUMBER(I119),ISNUMBER(F119)),IF(AND(G119&gt;0,H119&gt;0,I119&gt;0,F119&gt;I119),G119*H119/I119*LN(F119/(F119-I119)),"N/A"),"N/A")</f>
        <v>N/A</v>
      </c>
      <c r="N119" s="0" t="str">
        <f aca="false">IF(ISNUMBER(M119),IF(AND(H119&gt;=$B$7,G119/(F119*$B$9)&lt;$B$8),"croisière","fusée"),"N/A")</f>
        <v>N/A</v>
      </c>
      <c r="O119" s="32" t="str">
        <f aca="false">IF(N119="fusée",MIN(M119,IF(C119="Jeu de base",$B$4,$B$5)),IF(N119="croisière",$B$6*SQRT(G119),"N/A"))</f>
        <v>N/A</v>
      </c>
      <c r="P119" s="32" t="n">
        <f aca="false">IF(E119="propulsé",IF(ISNUMBER(O119),IF(AND(ISNUMBER(K119),ISNUMBER(L119)),MEDIAN(K119,L119,O119),IF(ISNUMBER(L119),L119,IF(ISNUMBER(K119),K119,O119))),IF(ISNUMBER(K119),K119,"N/A")),IF(E119="arme à feu",IF(ISNUMBER(J119),IF(ISNUMBER(K119),MIN(J119,K119),J119),"N/A"),"N/A"))</f>
        <v>800</v>
      </c>
      <c r="Q119" s="0" t="str">
        <f aca="false">IF(NOT(ISNUMBER(P119)),"aucune vitesse définie",IF(E119="arme à feu",IF(AND(ISNUMBER(K119),ISNUMBER(J119),K119&lt;J119),"vitesse max fixée (inférieure à la bouche)","vitesse initiale (bouche)"),IF(AND(ISNUMBER(K119),ISNUMBER(L119)),"médiane fichier / wiki / calcul",IF(ISNUMBER(L119),"wiki Delta-V",IF(ISNUMBER(K119),"vitesse fixée du fichier","calcul ("&amp;N119&amp;IF(AND(N119="fusée",M119&gt;O119),", plafonné","")&amp;")")))))</f>
        <v>vitesse initiale (bouche)</v>
      </c>
      <c r="R119" s="32" t="n">
        <f aca="false">IF(ISNUMBER(P119),IF(E119="arme à feu",IF($B$10=1,P119,"N/A"),P119),"N/A")</f>
        <v>800</v>
      </c>
      <c r="S119" s="33" t="n">
        <f aca="false">IF(ISNUMBER(R119),ROUND(1+9*(SUMPRODUCT(ISNUMBER($R$21:$R$153)*($R$21:$R$153&lt;=R119))-1)/(COUNT($R$21:$R$153)-1),1),"N/A")</f>
        <v>3.6</v>
      </c>
      <c r="T119" s="34"/>
    </row>
    <row r="120" customFormat="false" ht="15" hidden="false" customHeight="false" outlineLevel="0" collapsed="false">
      <c r="A120" s="0" t="str">
        <f aca="false">B120&amp;"|"&amp;C120</f>
        <v>57mm Autocannon|Aryx MiG-15</v>
      </c>
      <c r="B120" s="0" t="s">
        <v>179</v>
      </c>
      <c r="C120" s="0" t="s">
        <v>178</v>
      </c>
      <c r="D120" s="0" t="s">
        <v>64</v>
      </c>
      <c r="E120" s="0" t="str">
        <f aca="false">IF(ISNUMBER(G120),"propulsé",IF(D120="Canon / mitrailleuse / lance-grenade","arme à feu","autre"))</f>
        <v>arme à feu</v>
      </c>
      <c r="F120" s="27" t="n">
        <v>0</v>
      </c>
      <c r="G120" s="28"/>
      <c r="H120" s="29"/>
      <c r="I120" s="27"/>
      <c r="J120" s="28" t="n">
        <v>1800</v>
      </c>
      <c r="K120" s="30" t="n">
        <v>800</v>
      </c>
      <c r="L120" s="30"/>
      <c r="M120" s="31" t="str">
        <f aca="false">IF(AND(ISNUMBER(G120),ISNUMBER(H120),ISNUMBER(I120),ISNUMBER(F120)),IF(AND(G120&gt;0,H120&gt;0,I120&gt;0,F120&gt;I120),G120*H120/I120*LN(F120/(F120-I120)),"N/A"),"N/A")</f>
        <v>N/A</v>
      </c>
      <c r="N120" s="0" t="str">
        <f aca="false">IF(ISNUMBER(M120),IF(AND(H120&gt;=$B$7,G120/(F120*$B$9)&lt;$B$8),"croisière","fusée"),"N/A")</f>
        <v>N/A</v>
      </c>
      <c r="O120" s="32" t="str">
        <f aca="false">IF(N120="fusée",MIN(M120,IF(C120="Jeu de base",$B$4,$B$5)),IF(N120="croisière",$B$6*SQRT(G120),"N/A"))</f>
        <v>N/A</v>
      </c>
      <c r="P120" s="32" t="n">
        <f aca="false">IF(E120="propulsé",IF(ISNUMBER(O120),IF(AND(ISNUMBER(K120),ISNUMBER(L120)),MEDIAN(K120,L120,O120),IF(ISNUMBER(L120),L120,IF(ISNUMBER(K120),K120,O120))),IF(ISNUMBER(K120),K120,"N/A")),IF(E120="arme à feu",IF(ISNUMBER(J120),IF(ISNUMBER(K120),MIN(J120,K120),J120),"N/A"),"N/A"))</f>
        <v>800</v>
      </c>
      <c r="Q120" s="0" t="str">
        <f aca="false">IF(NOT(ISNUMBER(P120)),"aucune vitesse définie",IF(E120="arme à feu",IF(AND(ISNUMBER(K120),ISNUMBER(J120),K120&lt;J120),"vitesse max fixée (inférieure à la bouche)","vitesse initiale (bouche)"),IF(AND(ISNUMBER(K120),ISNUMBER(L120)),"médiane fichier / wiki / calcul",IF(ISNUMBER(L120),"wiki Delta-V",IF(ISNUMBER(K120),"vitesse fixée du fichier","calcul ("&amp;N120&amp;IF(AND(N120="fusée",M120&gt;O120),", plafonné","")&amp;")")))))</f>
        <v>vitesse max fixée (inférieure à la bouche)</v>
      </c>
      <c r="R120" s="32" t="n">
        <f aca="false">IF(ISNUMBER(P120),IF(E120="arme à feu",IF($B$10=1,P120,"N/A"),P120),"N/A")</f>
        <v>800</v>
      </c>
      <c r="S120" s="33" t="n">
        <f aca="false">IF(ISNUMBER(R120),ROUND(1+9*(SUMPRODUCT(ISNUMBER($R$21:$R$153)*($R$21:$R$153&lt;=R120))-1)/(COUNT($R$21:$R$153)-1),1),"N/A")</f>
        <v>3.6</v>
      </c>
      <c r="T120" s="34"/>
    </row>
    <row r="121" customFormat="false" ht="15" hidden="false" customHeight="false" outlineLevel="0" collapsed="false">
      <c r="A121" s="0" t="str">
        <f aca="false">B121&amp;"|"&amp;C121</f>
        <v>130mm Railgun|Aryx NAVEX</v>
      </c>
      <c r="B121" s="0" t="s">
        <v>180</v>
      </c>
      <c r="C121" s="0" t="s">
        <v>181</v>
      </c>
      <c r="D121" s="0" t="s">
        <v>64</v>
      </c>
      <c r="E121" s="0" t="str">
        <f aca="false">IF(ISNUMBER(G121),"propulsé",IF(D121="Canon / mitrailleuse / lance-grenade","arme à feu","autre"))</f>
        <v>arme à feu</v>
      </c>
      <c r="F121" s="27" t="n">
        <v>42</v>
      </c>
      <c r="G121" s="28"/>
      <c r="H121" s="29"/>
      <c r="I121" s="27"/>
      <c r="J121" s="28" t="n">
        <v>2680</v>
      </c>
      <c r="K121" s="30"/>
      <c r="L121" s="30"/>
      <c r="M121" s="31" t="str">
        <f aca="false">IF(AND(ISNUMBER(G121),ISNUMBER(H121),ISNUMBER(I121),ISNUMBER(F121)),IF(AND(G121&gt;0,H121&gt;0,I121&gt;0,F121&gt;I121),G121*H121/I121*LN(F121/(F121-I121)),"N/A"),"N/A")</f>
        <v>N/A</v>
      </c>
      <c r="N121" s="0" t="str">
        <f aca="false">IF(ISNUMBER(M121),IF(AND(H121&gt;=$B$7,G121/(F121*$B$9)&lt;$B$8),"croisière","fusée"),"N/A")</f>
        <v>N/A</v>
      </c>
      <c r="O121" s="32" t="str">
        <f aca="false">IF(N121="fusée",MIN(M121,IF(C121="Jeu de base",$B$4,$B$5)),IF(N121="croisière",$B$6*SQRT(G121),"N/A"))</f>
        <v>N/A</v>
      </c>
      <c r="P121" s="32" t="n">
        <f aca="false">IF(E121="propulsé",IF(ISNUMBER(O121),IF(AND(ISNUMBER(K121),ISNUMBER(L121)),MEDIAN(K121,L121,O121),IF(ISNUMBER(L121),L121,IF(ISNUMBER(K121),K121,O121))),IF(ISNUMBER(K121),K121,"N/A")),IF(E121="arme à feu",IF(ISNUMBER(J121),IF(ISNUMBER(K121),MIN(J121,K121),J121),"N/A"),"N/A"))</f>
        <v>2680</v>
      </c>
      <c r="Q121" s="0" t="str">
        <f aca="false">IF(NOT(ISNUMBER(P121)),"aucune vitesse définie",IF(E121="arme à feu",IF(AND(ISNUMBER(K121),ISNUMBER(J121),K121&lt;J121),"vitesse max fixée (inférieure à la bouche)","vitesse initiale (bouche)"),IF(AND(ISNUMBER(K121),ISNUMBER(L121)),"médiane fichier / wiki / calcul",IF(ISNUMBER(L121),"wiki Delta-V",IF(ISNUMBER(K121),"vitesse fixée du fichier","calcul ("&amp;N121&amp;IF(AND(N121="fusée",M121&gt;O121),", plafonné","")&amp;")")))))</f>
        <v>vitesse initiale (bouche)</v>
      </c>
      <c r="R121" s="32" t="n">
        <f aca="false">IF(ISNUMBER(P121),IF(E121="arme à feu",IF($B$10=1,P121,"N/A"),P121),"N/A")</f>
        <v>2680</v>
      </c>
      <c r="S121" s="33" t="n">
        <f aca="false">IF(ISNUMBER(R121),ROUND(1+9*(SUMPRODUCT(ISNUMBER($R$21:$R$153)*($R$21:$R$153&lt;=R121))-1)/(COUNT($R$21:$R$153)-1),1),"N/A")</f>
        <v>9.8</v>
      </c>
      <c r="T121" s="34"/>
    </row>
    <row r="122" customFormat="false" ht="15" hidden="false" customHeight="false" outlineLevel="0" collapsed="false">
      <c r="A122" s="0" t="str">
        <f aca="false">B122&amp;"|"&amp;C122</f>
        <v>2000kg HE Warhead|Aryx NAVEX</v>
      </c>
      <c r="B122" s="0" t="s">
        <v>182</v>
      </c>
      <c r="C122" s="0" t="s">
        <v>181</v>
      </c>
      <c r="D122" s="0" t="s">
        <v>64</v>
      </c>
      <c r="E122" s="0" t="str">
        <f aca="false">IF(ISNUMBER(G122),"propulsé",IF(D122="Canon / mitrailleuse / lance-grenade","arme à feu","autre"))</f>
        <v>arme à feu</v>
      </c>
      <c r="F122" s="27" t="n">
        <v>1</v>
      </c>
      <c r="G122" s="28"/>
      <c r="H122" s="29"/>
      <c r="I122" s="27"/>
      <c r="J122" s="28" t="n">
        <v>100</v>
      </c>
      <c r="K122" s="30"/>
      <c r="L122" s="30"/>
      <c r="M122" s="31" t="str">
        <f aca="false">IF(AND(ISNUMBER(G122),ISNUMBER(H122),ISNUMBER(I122),ISNUMBER(F122)),IF(AND(G122&gt;0,H122&gt;0,I122&gt;0,F122&gt;I122),G122*H122/I122*LN(F122/(F122-I122)),"N/A"),"N/A")</f>
        <v>N/A</v>
      </c>
      <c r="N122" s="0" t="str">
        <f aca="false">IF(ISNUMBER(M122),IF(AND(H122&gt;=$B$7,G122/(F122*$B$9)&lt;$B$8),"croisière","fusée"),"N/A")</f>
        <v>N/A</v>
      </c>
      <c r="O122" s="32" t="str">
        <f aca="false">IF(N122="fusée",MIN(M122,IF(C122="Jeu de base",$B$4,$B$5)),IF(N122="croisière",$B$6*SQRT(G122),"N/A"))</f>
        <v>N/A</v>
      </c>
      <c r="P122" s="32" t="n">
        <f aca="false">IF(E122="propulsé",IF(ISNUMBER(O122),IF(AND(ISNUMBER(K122),ISNUMBER(L122)),MEDIAN(K122,L122,O122),IF(ISNUMBER(L122),L122,IF(ISNUMBER(K122),K122,O122))),IF(ISNUMBER(K122),K122,"N/A")),IF(E122="arme à feu",IF(ISNUMBER(J122),IF(ISNUMBER(K122),MIN(J122,K122),J122),"N/A"),"N/A"))</f>
        <v>100</v>
      </c>
      <c r="Q122" s="0" t="str">
        <f aca="false">IF(NOT(ISNUMBER(P122)),"aucune vitesse définie",IF(E122="arme à feu",IF(AND(ISNUMBER(K122),ISNUMBER(J122),K122&lt;J122),"vitesse max fixée (inférieure à la bouche)","vitesse initiale (bouche)"),IF(AND(ISNUMBER(K122),ISNUMBER(L122)),"médiane fichier / wiki / calcul",IF(ISNUMBER(L122),"wiki Delta-V",IF(ISNUMBER(K122),"vitesse fixée du fichier","calcul ("&amp;N122&amp;IF(AND(N122="fusée",M122&gt;O122),", plafonné","")&amp;")")))))</f>
        <v>vitesse initiale (bouche)</v>
      </c>
      <c r="R122" s="32" t="n">
        <f aca="false">IF(ISNUMBER(P122),IF(E122="arme à feu",IF($B$10=1,P122,"N/A"),P122),"N/A")</f>
        <v>100</v>
      </c>
      <c r="S122" s="33" t="n">
        <f aca="false">IF(ISNUMBER(R122),ROUND(1+9*(SUMPRODUCT(ISNUMBER($R$21:$R$153)*($R$21:$R$153&lt;=R122))-1)/(COUNT($R$21:$R$153)-1),1),"N/A")</f>
        <v>1</v>
      </c>
      <c r="T122" s="34"/>
    </row>
    <row r="123" customFormat="false" ht="15" hidden="false" customHeight="false" outlineLevel="0" collapsed="false">
      <c r="A123" s="0" t="str">
        <f aca="false">B123&amp;"|"&amp;C123</f>
        <v>203mm Deck Gun|Aryx NAVEX</v>
      </c>
      <c r="B123" s="0" t="s">
        <v>183</v>
      </c>
      <c r="C123" s="0" t="s">
        <v>181</v>
      </c>
      <c r="D123" s="0" t="s">
        <v>64</v>
      </c>
      <c r="E123" s="0" t="str">
        <f aca="false">IF(ISNUMBER(G123),"propulsé",IF(D123="Canon / mitrailleuse / lance-grenade","arme à feu","autre"))</f>
        <v>arme à feu</v>
      </c>
      <c r="F123" s="27" t="n">
        <v>30</v>
      </c>
      <c r="G123" s="28"/>
      <c r="H123" s="29"/>
      <c r="I123" s="27"/>
      <c r="J123" s="28" t="n">
        <v>2100</v>
      </c>
      <c r="K123" s="30"/>
      <c r="L123" s="30"/>
      <c r="M123" s="31" t="str">
        <f aca="false">IF(AND(ISNUMBER(G123),ISNUMBER(H123),ISNUMBER(I123),ISNUMBER(F123)),IF(AND(G123&gt;0,H123&gt;0,I123&gt;0,F123&gt;I123),G123*H123/I123*LN(F123/(F123-I123)),"N/A"),"N/A")</f>
        <v>N/A</v>
      </c>
      <c r="N123" s="0" t="str">
        <f aca="false">IF(ISNUMBER(M123),IF(AND(H123&gt;=$B$7,G123/(F123*$B$9)&lt;$B$8),"croisière","fusée"),"N/A")</f>
        <v>N/A</v>
      </c>
      <c r="O123" s="32" t="str">
        <f aca="false">IF(N123="fusée",MIN(M123,IF(C123="Jeu de base",$B$4,$B$5)),IF(N123="croisière",$B$6*SQRT(G123),"N/A"))</f>
        <v>N/A</v>
      </c>
      <c r="P123" s="32" t="n">
        <f aca="false">IF(E123="propulsé",IF(ISNUMBER(O123),IF(AND(ISNUMBER(K123),ISNUMBER(L123)),MEDIAN(K123,L123,O123),IF(ISNUMBER(L123),L123,IF(ISNUMBER(K123),K123,O123))),IF(ISNUMBER(K123),K123,"N/A")),IF(E123="arme à feu",IF(ISNUMBER(J123),IF(ISNUMBER(K123),MIN(J123,K123),J123),"N/A"),"N/A"))</f>
        <v>2100</v>
      </c>
      <c r="Q123" s="0" t="str">
        <f aca="false">IF(NOT(ISNUMBER(P123)),"aucune vitesse définie",IF(E123="arme à feu",IF(AND(ISNUMBER(K123),ISNUMBER(J123),K123&lt;J123),"vitesse max fixée (inférieure à la bouche)","vitesse initiale (bouche)"),IF(AND(ISNUMBER(K123),ISNUMBER(L123)),"médiane fichier / wiki / calcul",IF(ISNUMBER(L123),"wiki Delta-V",IF(ISNUMBER(K123),"vitesse fixée du fichier","calcul ("&amp;N123&amp;IF(AND(N123="fusée",M123&gt;O123),", plafonné","")&amp;")")))))</f>
        <v>vitesse initiale (bouche)</v>
      </c>
      <c r="R123" s="32" t="n">
        <f aca="false">IF(ISNUMBER(P123),IF(E123="arme à feu",IF($B$10=1,P123,"N/A"),P123),"N/A")</f>
        <v>2100</v>
      </c>
      <c r="S123" s="33" t="n">
        <f aca="false">IF(ISNUMBER(R123),ROUND(1+9*(SUMPRODUCT(ISNUMBER($R$21:$R$153)*($R$21:$R$153&lt;=R123))-1)/(COUNT($R$21:$R$153)-1),1),"N/A")</f>
        <v>9.6</v>
      </c>
      <c r="T123" s="34"/>
    </row>
    <row r="124" customFormat="false" ht="15" hidden="false" customHeight="false" outlineLevel="0" collapsed="false">
      <c r="A124" s="0" t="str">
        <f aca="false">B124&amp;"|"&amp;C124</f>
        <v>23mm CIWS|Aryx NAVEX</v>
      </c>
      <c r="B124" s="0" t="s">
        <v>184</v>
      </c>
      <c r="C124" s="0" t="s">
        <v>181</v>
      </c>
      <c r="D124" s="0" t="s">
        <v>64</v>
      </c>
      <c r="E124" s="0" t="str">
        <f aca="false">IF(ISNUMBER(G124),"propulsé",IF(D124="Canon / mitrailleuse / lance-grenade","arme à feu","autre"))</f>
        <v>arme à feu</v>
      </c>
      <c r="F124" s="27" t="n">
        <v>0.2</v>
      </c>
      <c r="G124" s="28"/>
      <c r="H124" s="29"/>
      <c r="I124" s="27"/>
      <c r="J124" s="28" t="n">
        <v>1200</v>
      </c>
      <c r="K124" s="30"/>
      <c r="L124" s="30"/>
      <c r="M124" s="31" t="str">
        <f aca="false">IF(AND(ISNUMBER(G124),ISNUMBER(H124),ISNUMBER(I124),ISNUMBER(F124)),IF(AND(G124&gt;0,H124&gt;0,I124&gt;0,F124&gt;I124),G124*H124/I124*LN(F124/(F124-I124)),"N/A"),"N/A")</f>
        <v>N/A</v>
      </c>
      <c r="N124" s="0" t="str">
        <f aca="false">IF(ISNUMBER(M124),IF(AND(H124&gt;=$B$7,G124/(F124*$B$9)&lt;$B$8),"croisière","fusée"),"N/A")</f>
        <v>N/A</v>
      </c>
      <c r="O124" s="32" t="str">
        <f aca="false">IF(N124="fusée",MIN(M124,IF(C124="Jeu de base",$B$4,$B$5)),IF(N124="croisière",$B$6*SQRT(G124),"N/A"))</f>
        <v>N/A</v>
      </c>
      <c r="P124" s="32" t="n">
        <f aca="false">IF(E124="propulsé",IF(ISNUMBER(O124),IF(AND(ISNUMBER(K124),ISNUMBER(L124)),MEDIAN(K124,L124,O124),IF(ISNUMBER(L124),L124,IF(ISNUMBER(K124),K124,O124))),IF(ISNUMBER(K124),K124,"N/A")),IF(E124="arme à feu",IF(ISNUMBER(J124),IF(ISNUMBER(K124),MIN(J124,K124),J124),"N/A"),"N/A"))</f>
        <v>1200</v>
      </c>
      <c r="Q124" s="0" t="str">
        <f aca="false">IF(NOT(ISNUMBER(P124)),"aucune vitesse définie",IF(E124="arme à feu",IF(AND(ISNUMBER(K124),ISNUMBER(J124),K124&lt;J124),"vitesse max fixée (inférieure à la bouche)","vitesse initiale (bouche)"),IF(AND(ISNUMBER(K124),ISNUMBER(L124)),"médiane fichier / wiki / calcul",IF(ISNUMBER(L124),"wiki Delta-V",IF(ISNUMBER(K124),"vitesse fixée du fichier","calcul ("&amp;N124&amp;IF(AND(N124="fusée",M124&gt;O124),", plafonné","")&amp;")")))))</f>
        <v>vitesse initiale (bouche)</v>
      </c>
      <c r="R124" s="32" t="n">
        <f aca="false">IF(ISNUMBER(P124),IF(E124="arme à feu",IF($B$10=1,P124,"N/A"),P124),"N/A")</f>
        <v>1200</v>
      </c>
      <c r="S124" s="33" t="n">
        <f aca="false">IF(ISNUMBER(R124),ROUND(1+9*(SUMPRODUCT(ISNUMBER($R$21:$R$153)*($R$21:$R$153&lt;=R124))-1)/(COUNT($R$21:$R$153)-1),1),"N/A")</f>
        <v>7.9</v>
      </c>
      <c r="T124" s="34"/>
    </row>
    <row r="125" customFormat="false" ht="15" hidden="false" customHeight="false" outlineLevel="0" collapsed="false">
      <c r="A125" s="0" t="str">
        <f aca="false">B125&amp;"|"&amp;C125</f>
        <v>30mm Autocannon|Aryx NAVEX</v>
      </c>
      <c r="B125" s="0" t="s">
        <v>163</v>
      </c>
      <c r="C125" s="0" t="s">
        <v>181</v>
      </c>
      <c r="D125" s="0" t="s">
        <v>64</v>
      </c>
      <c r="E125" s="0" t="str">
        <f aca="false">IF(ISNUMBER(G125),"propulsé",IF(D125="Canon / mitrailleuse / lance-grenade","arme à feu","autre"))</f>
        <v>arme à feu</v>
      </c>
      <c r="F125" s="27" t="n">
        <v>1.4</v>
      </c>
      <c r="G125" s="28"/>
      <c r="H125" s="29"/>
      <c r="I125" s="27"/>
      <c r="J125" s="28" t="n">
        <v>1175</v>
      </c>
      <c r="K125" s="30"/>
      <c r="L125" s="30"/>
      <c r="M125" s="31" t="str">
        <f aca="false">IF(AND(ISNUMBER(G125),ISNUMBER(H125),ISNUMBER(I125),ISNUMBER(F125)),IF(AND(G125&gt;0,H125&gt;0,I125&gt;0,F125&gt;I125),G125*H125/I125*LN(F125/(F125-I125)),"N/A"),"N/A")</f>
        <v>N/A</v>
      </c>
      <c r="N125" s="0" t="str">
        <f aca="false">IF(ISNUMBER(M125),IF(AND(H125&gt;=$B$7,G125/(F125*$B$9)&lt;$B$8),"croisière","fusée"),"N/A")</f>
        <v>N/A</v>
      </c>
      <c r="O125" s="32" t="str">
        <f aca="false">IF(N125="fusée",MIN(M125,IF(C125="Jeu de base",$B$4,$B$5)),IF(N125="croisière",$B$6*SQRT(G125),"N/A"))</f>
        <v>N/A</v>
      </c>
      <c r="P125" s="32" t="n">
        <f aca="false">IF(E125="propulsé",IF(ISNUMBER(O125),IF(AND(ISNUMBER(K125),ISNUMBER(L125)),MEDIAN(K125,L125,O125),IF(ISNUMBER(L125),L125,IF(ISNUMBER(K125),K125,O125))),IF(ISNUMBER(K125),K125,"N/A")),IF(E125="arme à feu",IF(ISNUMBER(J125),IF(ISNUMBER(K125),MIN(J125,K125),J125),"N/A"),"N/A"))</f>
        <v>1175</v>
      </c>
      <c r="Q125" s="0" t="str">
        <f aca="false">IF(NOT(ISNUMBER(P125)),"aucune vitesse définie",IF(E125="arme à feu",IF(AND(ISNUMBER(K125),ISNUMBER(J125),K125&lt;J125),"vitesse max fixée (inférieure à la bouche)","vitesse initiale (bouche)"),IF(AND(ISNUMBER(K125),ISNUMBER(L125)),"médiane fichier / wiki / calcul",IF(ISNUMBER(L125),"wiki Delta-V",IF(ISNUMBER(K125),"vitesse fixée du fichier","calcul ("&amp;N125&amp;IF(AND(N125="fusée",M125&gt;O125),", plafonné","")&amp;")")))))</f>
        <v>vitesse initiale (bouche)</v>
      </c>
      <c r="R125" s="32" t="n">
        <f aca="false">IF(ISNUMBER(P125),IF(E125="arme à feu",IF($B$10=1,P125,"N/A"),P125),"N/A")</f>
        <v>1175</v>
      </c>
      <c r="S125" s="33" t="n">
        <f aca="false">IF(ISNUMBER(R125),ROUND(1+9*(SUMPRODUCT(ISNUMBER($R$21:$R$153)*($R$21:$R$153&lt;=R125))-1)/(COUNT($R$21:$R$153)-1),1),"N/A")</f>
        <v>7.7</v>
      </c>
      <c r="T125" s="34"/>
    </row>
    <row r="126" customFormat="false" ht="15" hidden="false" customHeight="false" outlineLevel="0" collapsed="false">
      <c r="A126" s="0" t="str">
        <f aca="false">B126&amp;"|"&amp;C126</f>
        <v>SLND-9 (20kt)|Aryx NAVEX</v>
      </c>
      <c r="B126" s="0" t="s">
        <v>185</v>
      </c>
      <c r="C126" s="0" t="s">
        <v>181</v>
      </c>
      <c r="D126" s="0" t="s">
        <v>138</v>
      </c>
      <c r="E126" s="0" t="str">
        <f aca="false">IF(ISNUMBER(G126),"propulsé",IF(D126="Canon / mitrailleuse / lance-grenade","arme à feu","autre"))</f>
        <v>propulsé</v>
      </c>
      <c r="F126" s="27" t="n">
        <v>1280</v>
      </c>
      <c r="G126" s="28" t="n">
        <v>6500</v>
      </c>
      <c r="H126" s="29" t="n">
        <v>1000</v>
      </c>
      <c r="I126" s="27" t="n">
        <v>400</v>
      </c>
      <c r="J126" s="28"/>
      <c r="K126" s="30"/>
      <c r="L126" s="30"/>
      <c r="M126" s="31" t="n">
        <f aca="false">IF(AND(ISNUMBER(G126),ISNUMBER(H126),ISNUMBER(I126),ISNUMBER(F126)),IF(AND(G126&gt;0,H126&gt;0,I126&gt;0,F126&gt;I126),G126*H126/I126*LN(F126/(F126-I126)),"N/A"),"N/A")</f>
        <v>6088.76855342292</v>
      </c>
      <c r="N126" s="0" t="str">
        <f aca="false">IF(ISNUMBER(M126),IF(AND(H126&gt;=$B$7,G126/(F126*$B$9)&lt;$B$8),"croisière","fusée"),"N/A")</f>
        <v>croisière</v>
      </c>
      <c r="O126" s="32" t="n">
        <f aca="false">IF(N126="fusée",MIN(M126,IF(C126="Jeu de base",$B$4,$B$5)),IF(N126="croisière",$B$6*SQRT(G126),"N/A"))</f>
        <v>427.299660659823</v>
      </c>
      <c r="P126" s="32" t="n">
        <f aca="false">IF(E126="propulsé",IF(ISNUMBER(O126),IF(AND(ISNUMBER(K126),ISNUMBER(L126)),MEDIAN(K126,L126,O126),IF(ISNUMBER(L126),L126,IF(ISNUMBER(K126),K126,O126))),IF(ISNUMBER(K126),K126,"N/A")),IF(E126="arme à feu",IF(ISNUMBER(J126),IF(ISNUMBER(K126),MIN(J126,K126),J126),"N/A"),"N/A"))</f>
        <v>427.299660659823</v>
      </c>
      <c r="Q126" s="0" t="str">
        <f aca="false">IF(NOT(ISNUMBER(P126)),"aucune vitesse définie",IF(E126="arme à feu",IF(AND(ISNUMBER(K126),ISNUMBER(J126),K126&lt;J126),"vitesse max fixée (inférieure à la bouche)","vitesse initiale (bouche)"),IF(AND(ISNUMBER(K126),ISNUMBER(L126)),"médiane fichier / wiki / calcul",IF(ISNUMBER(L126),"wiki Delta-V",IF(ISNUMBER(K126),"vitesse fixée du fichier","calcul ("&amp;N126&amp;IF(AND(N126="fusée",M126&gt;O126),", plafonné","")&amp;")")))))</f>
        <v>calcul (croisière)</v>
      </c>
      <c r="R126" s="32" t="n">
        <f aca="false">IF(ISNUMBER(P126),IF(E126="arme à feu",IF($B$10=1,P126,"N/A"),P126),"N/A")</f>
        <v>427.299660659823</v>
      </c>
      <c r="S126" s="33" t="n">
        <f aca="false">IF(ISNUMBER(R126),ROUND(1+9*(SUMPRODUCT(ISNUMBER($R$21:$R$153)*($R$21:$R$153&lt;=R126))-1)/(COUNT($R$21:$R$153)-1),1),"N/A")</f>
        <v>2.5</v>
      </c>
      <c r="T126" s="34" t="n">
        <v>8.4</v>
      </c>
    </row>
    <row r="127" customFormat="false" ht="15" hidden="false" customHeight="false" outlineLevel="0" collapsed="false">
      <c r="A127" s="0" t="str">
        <f aca="false">B127&amp;"|"&amp;C127</f>
        <v>14.5mm Machine Gun|Aryx OA-27 Cavalier</v>
      </c>
      <c r="B127" s="0" t="s">
        <v>187</v>
      </c>
      <c r="C127" s="0" t="s">
        <v>188</v>
      </c>
      <c r="D127" s="0" t="s">
        <v>64</v>
      </c>
      <c r="E127" s="0" t="str">
        <f aca="false">IF(ISNUMBER(G127),"propulsé",IF(D127="Canon / mitrailleuse / lance-grenade","arme à feu","autre"))</f>
        <v>arme à feu</v>
      </c>
      <c r="F127" s="27" t="n">
        <v>0.14</v>
      </c>
      <c r="G127" s="28"/>
      <c r="H127" s="29"/>
      <c r="I127" s="27"/>
      <c r="J127" s="28" t="n">
        <v>870</v>
      </c>
      <c r="K127" s="30" t="n">
        <v>870</v>
      </c>
      <c r="L127" s="30"/>
      <c r="M127" s="31" t="str">
        <f aca="false">IF(AND(ISNUMBER(G127),ISNUMBER(H127),ISNUMBER(I127),ISNUMBER(F127)),IF(AND(G127&gt;0,H127&gt;0,I127&gt;0,F127&gt;I127),G127*H127/I127*LN(F127/(F127-I127)),"N/A"),"N/A")</f>
        <v>N/A</v>
      </c>
      <c r="N127" s="0" t="str">
        <f aca="false">IF(ISNUMBER(M127),IF(AND(H127&gt;=$B$7,G127/(F127*$B$9)&lt;$B$8),"croisière","fusée"),"N/A")</f>
        <v>N/A</v>
      </c>
      <c r="O127" s="32" t="str">
        <f aca="false">IF(N127="fusée",MIN(M127,IF(C127="Jeu de base",$B$4,$B$5)),IF(N127="croisière",$B$6*SQRT(G127),"N/A"))</f>
        <v>N/A</v>
      </c>
      <c r="P127" s="32" t="n">
        <f aca="false">IF(E127="propulsé",IF(ISNUMBER(O127),IF(AND(ISNUMBER(K127),ISNUMBER(L127)),MEDIAN(K127,L127,O127),IF(ISNUMBER(L127),L127,IF(ISNUMBER(K127),K127,O127))),IF(ISNUMBER(K127),K127,"N/A")),IF(E127="arme à feu",IF(ISNUMBER(J127),IF(ISNUMBER(K127),MIN(J127,K127),J127),"N/A"),"N/A"))</f>
        <v>870</v>
      </c>
      <c r="Q127" s="0" t="str">
        <f aca="false">IF(NOT(ISNUMBER(P127)),"aucune vitesse définie",IF(E127="arme à feu",IF(AND(ISNUMBER(K127),ISNUMBER(J127),K127&lt;J127),"vitesse max fixée (inférieure à la bouche)","vitesse initiale (bouche)"),IF(AND(ISNUMBER(K127),ISNUMBER(L127)),"médiane fichier / wiki / calcul",IF(ISNUMBER(L127),"wiki Delta-V",IF(ISNUMBER(K127),"vitesse fixée du fichier","calcul ("&amp;N127&amp;IF(AND(N127="fusée",M127&gt;O127),", plafonné","")&amp;")")))))</f>
        <v>vitesse initiale (bouche)</v>
      </c>
      <c r="R127" s="32" t="n">
        <f aca="false">IF(ISNUMBER(P127),IF(E127="arme à feu",IF($B$10=1,P127,"N/A"),P127),"N/A")</f>
        <v>870</v>
      </c>
      <c r="S127" s="33" t="n">
        <f aca="false">IF(ISNUMBER(R127),ROUND(1+9*(SUMPRODUCT(ISNUMBER($R$21:$R$153)*($R$21:$R$153&lt;=R127))-1)/(COUNT($R$21:$R$153)-1),1),"N/A")</f>
        <v>4.6</v>
      </c>
      <c r="T127" s="34"/>
    </row>
    <row r="128" customFormat="false" ht="15" hidden="false" customHeight="false" outlineLevel="0" collapsed="false">
      <c r="A128" s="0" t="str">
        <f aca="false">B128&amp;"|"&amp;C128</f>
        <v>20mm Autocannon|Aryx OA-27 Cavalier</v>
      </c>
      <c r="B128" s="0" t="s">
        <v>70</v>
      </c>
      <c r="C128" s="0" t="s">
        <v>188</v>
      </c>
      <c r="D128" s="0" t="s">
        <v>64</v>
      </c>
      <c r="E128" s="0" t="str">
        <f aca="false">IF(ISNUMBER(G128),"propulsé",IF(D128="Canon / mitrailleuse / lance-grenade","arme à feu","autre"))</f>
        <v>arme à feu</v>
      </c>
      <c r="F128" s="27" t="n">
        <v>0.27</v>
      </c>
      <c r="G128" s="28"/>
      <c r="H128" s="29"/>
      <c r="I128" s="27"/>
      <c r="J128" s="28" t="n">
        <v>1100</v>
      </c>
      <c r="K128" s="30"/>
      <c r="L128" s="30"/>
      <c r="M128" s="31" t="str">
        <f aca="false">IF(AND(ISNUMBER(G128),ISNUMBER(H128),ISNUMBER(I128),ISNUMBER(F128)),IF(AND(G128&gt;0,H128&gt;0,I128&gt;0,F128&gt;I128),G128*H128/I128*LN(F128/(F128-I128)),"N/A"),"N/A")</f>
        <v>N/A</v>
      </c>
      <c r="N128" s="0" t="str">
        <f aca="false">IF(ISNUMBER(M128),IF(AND(H128&gt;=$B$7,G128/(F128*$B$9)&lt;$B$8),"croisière","fusée"),"N/A")</f>
        <v>N/A</v>
      </c>
      <c r="O128" s="32" t="str">
        <f aca="false">IF(N128="fusée",MIN(M128,IF(C128="Jeu de base",$B$4,$B$5)),IF(N128="croisière",$B$6*SQRT(G128),"N/A"))</f>
        <v>N/A</v>
      </c>
      <c r="P128" s="32" t="n">
        <f aca="false">IF(E128="propulsé",IF(ISNUMBER(O128),IF(AND(ISNUMBER(K128),ISNUMBER(L128)),MEDIAN(K128,L128,O128),IF(ISNUMBER(L128),L128,IF(ISNUMBER(K128),K128,O128))),IF(ISNUMBER(K128),K128,"N/A")),IF(E128="arme à feu",IF(ISNUMBER(J128),IF(ISNUMBER(K128),MIN(J128,K128),J128),"N/A"),"N/A"))</f>
        <v>1100</v>
      </c>
      <c r="Q128" s="0" t="str">
        <f aca="false">IF(NOT(ISNUMBER(P128)),"aucune vitesse définie",IF(E128="arme à feu",IF(AND(ISNUMBER(K128),ISNUMBER(J128),K128&lt;J128),"vitesse max fixée (inférieure à la bouche)","vitesse initiale (bouche)"),IF(AND(ISNUMBER(K128),ISNUMBER(L128)),"médiane fichier / wiki / calcul",IF(ISNUMBER(L128),"wiki Delta-V",IF(ISNUMBER(K128),"vitesse fixée du fichier","calcul ("&amp;N128&amp;IF(AND(N128="fusée",M128&gt;O128),", plafonné","")&amp;")")))))</f>
        <v>vitesse initiale (bouche)</v>
      </c>
      <c r="R128" s="32" t="n">
        <f aca="false">IF(ISNUMBER(P128),IF(E128="arme à feu",IF($B$10=1,P128,"N/A"),P128),"N/A")</f>
        <v>1100</v>
      </c>
      <c r="S128" s="33" t="n">
        <f aca="false">IF(ISNUMBER(R128),ROUND(1+9*(SUMPRODUCT(ISNUMBER($R$21:$R$153)*($R$21:$R$153&lt;=R128))-1)/(COUNT($R$21:$R$153)-1),1),"N/A")</f>
        <v>7.1</v>
      </c>
      <c r="T128" s="34"/>
    </row>
    <row r="129" customFormat="false" ht="15" hidden="false" customHeight="false" outlineLevel="0" collapsed="false">
      <c r="A129" s="0" t="str">
        <f aca="false">B129&amp;"|"&amp;C129</f>
        <v>30mm Autocannon|Aryx OA-27 Cavalier</v>
      </c>
      <c r="B129" s="0" t="s">
        <v>163</v>
      </c>
      <c r="C129" s="0" t="s">
        <v>188</v>
      </c>
      <c r="D129" s="0" t="s">
        <v>64</v>
      </c>
      <c r="E129" s="0" t="str">
        <f aca="false">IF(ISNUMBER(G129),"propulsé",IF(D129="Canon / mitrailleuse / lance-grenade","arme à feu","autre"))</f>
        <v>arme à feu</v>
      </c>
      <c r="F129" s="27" t="n">
        <v>0.4</v>
      </c>
      <c r="G129" s="28"/>
      <c r="H129" s="29"/>
      <c r="I129" s="27"/>
      <c r="J129" s="28" t="n">
        <v>790</v>
      </c>
      <c r="K129" s="30"/>
      <c r="L129" s="30"/>
      <c r="M129" s="31" t="str">
        <f aca="false">IF(AND(ISNUMBER(G129),ISNUMBER(H129),ISNUMBER(I129),ISNUMBER(F129)),IF(AND(G129&gt;0,H129&gt;0,I129&gt;0,F129&gt;I129),G129*H129/I129*LN(F129/(F129-I129)),"N/A"),"N/A")</f>
        <v>N/A</v>
      </c>
      <c r="N129" s="0" t="str">
        <f aca="false">IF(ISNUMBER(M129),IF(AND(H129&gt;=$B$7,G129/(F129*$B$9)&lt;$B$8),"croisière","fusée"),"N/A")</f>
        <v>N/A</v>
      </c>
      <c r="O129" s="32" t="str">
        <f aca="false">IF(N129="fusée",MIN(M129,IF(C129="Jeu de base",$B$4,$B$5)),IF(N129="croisière",$B$6*SQRT(G129),"N/A"))</f>
        <v>N/A</v>
      </c>
      <c r="P129" s="32" t="n">
        <f aca="false">IF(E129="propulsé",IF(ISNUMBER(O129),IF(AND(ISNUMBER(K129),ISNUMBER(L129)),MEDIAN(K129,L129,O129),IF(ISNUMBER(L129),L129,IF(ISNUMBER(K129),K129,O129))),IF(ISNUMBER(K129),K129,"N/A")),IF(E129="arme à feu",IF(ISNUMBER(J129),IF(ISNUMBER(K129),MIN(J129,K129),J129),"N/A"),"N/A"))</f>
        <v>790</v>
      </c>
      <c r="Q129" s="0" t="str">
        <f aca="false">IF(NOT(ISNUMBER(P129)),"aucune vitesse définie",IF(E129="arme à feu",IF(AND(ISNUMBER(K129),ISNUMBER(J129),K129&lt;J129),"vitesse max fixée (inférieure à la bouche)","vitesse initiale (bouche)"),IF(AND(ISNUMBER(K129),ISNUMBER(L129)),"médiane fichier / wiki / calcul",IF(ISNUMBER(L129),"wiki Delta-V",IF(ISNUMBER(K129),"vitesse fixée du fichier","calcul ("&amp;N129&amp;IF(AND(N129="fusée",M129&gt;O129),", plafonné","")&amp;")")))))</f>
        <v>vitesse initiale (bouche)</v>
      </c>
      <c r="R129" s="32" t="n">
        <f aca="false">IF(ISNUMBER(P129),IF(E129="arme à feu",IF($B$10=1,P129,"N/A"),P129),"N/A")</f>
        <v>790</v>
      </c>
      <c r="S129" s="33" t="n">
        <f aca="false">IF(ISNUMBER(R129),ROUND(1+9*(SUMPRODUCT(ISNUMBER($R$21:$R$153)*($R$21:$R$153&lt;=R129))-1)/(COUNT($R$21:$R$153)-1),1),"N/A")</f>
        <v>3.4</v>
      </c>
      <c r="T129" s="34"/>
    </row>
    <row r="130" customFormat="false" ht="15" hidden="false" customHeight="false" outlineLevel="0" collapsed="false">
      <c r="A130" s="0" t="str">
        <f aca="false">B130&amp;"|"&amp;C130</f>
        <v>30mm Autocannon|Aryx RAH-72</v>
      </c>
      <c r="B130" s="0" t="s">
        <v>163</v>
      </c>
      <c r="C130" s="0" t="s">
        <v>189</v>
      </c>
      <c r="D130" s="0" t="s">
        <v>64</v>
      </c>
      <c r="E130" s="0" t="str">
        <f aca="false">IF(ISNUMBER(G130),"propulsé",IF(D130="Canon / mitrailleuse / lance-grenade","arme à feu","autre"))</f>
        <v>arme à feu</v>
      </c>
      <c r="F130" s="27" t="n">
        <v>0.5</v>
      </c>
      <c r="G130" s="28"/>
      <c r="H130" s="29"/>
      <c r="I130" s="27"/>
      <c r="J130" s="28" t="n">
        <v>825</v>
      </c>
      <c r="K130" s="30" t="n">
        <v>825</v>
      </c>
      <c r="L130" s="30"/>
      <c r="M130" s="31" t="str">
        <f aca="false">IF(AND(ISNUMBER(G130),ISNUMBER(H130),ISNUMBER(I130),ISNUMBER(F130)),IF(AND(G130&gt;0,H130&gt;0,I130&gt;0,F130&gt;I130),G130*H130/I130*LN(F130/(F130-I130)),"N/A"),"N/A")</f>
        <v>N/A</v>
      </c>
      <c r="N130" s="0" t="str">
        <f aca="false">IF(ISNUMBER(M130),IF(AND(H130&gt;=$B$7,G130/(F130*$B$9)&lt;$B$8),"croisière","fusée"),"N/A")</f>
        <v>N/A</v>
      </c>
      <c r="O130" s="32" t="str">
        <f aca="false">IF(N130="fusée",MIN(M130,IF(C130="Jeu de base",$B$4,$B$5)),IF(N130="croisière",$B$6*SQRT(G130),"N/A"))</f>
        <v>N/A</v>
      </c>
      <c r="P130" s="32" t="n">
        <f aca="false">IF(E130="propulsé",IF(ISNUMBER(O130),IF(AND(ISNUMBER(K130),ISNUMBER(L130)),MEDIAN(K130,L130,O130),IF(ISNUMBER(L130),L130,IF(ISNUMBER(K130),K130,O130))),IF(ISNUMBER(K130),K130,"N/A")),IF(E130="arme à feu",IF(ISNUMBER(J130),IF(ISNUMBER(K130),MIN(J130,K130),J130),"N/A"),"N/A"))</f>
        <v>825</v>
      </c>
      <c r="Q130" s="0" t="str">
        <f aca="false">IF(NOT(ISNUMBER(P130)),"aucune vitesse définie",IF(E130="arme à feu",IF(AND(ISNUMBER(K130),ISNUMBER(J130),K130&lt;J130),"vitesse max fixée (inférieure à la bouche)","vitesse initiale (bouche)"),IF(AND(ISNUMBER(K130),ISNUMBER(L130)),"médiane fichier / wiki / calcul",IF(ISNUMBER(L130),"wiki Delta-V",IF(ISNUMBER(K130),"vitesse fixée du fichier","calcul ("&amp;N130&amp;IF(AND(N130="fusée",M130&gt;O130),", plafonné","")&amp;")")))))</f>
        <v>vitesse initiale (bouche)</v>
      </c>
      <c r="R130" s="32" t="n">
        <f aca="false">IF(ISNUMBER(P130),IF(E130="arme à feu",IF($B$10=1,P130,"N/A"),P130),"N/A")</f>
        <v>825</v>
      </c>
      <c r="S130" s="33" t="n">
        <f aca="false">IF(ISNUMBER(R130),ROUND(1+9*(SUMPRODUCT(ISNUMBER($R$21:$R$153)*($R$21:$R$153&lt;=R130))-1)/(COUNT($R$21:$R$153)-1),1),"N/A")</f>
        <v>4</v>
      </c>
      <c r="T130" s="34"/>
    </row>
    <row r="131" customFormat="false" ht="15" hidden="false" customHeight="false" outlineLevel="0" collapsed="false">
      <c r="A131" s="0" t="str">
        <f aca="false">B131&amp;"|"&amp;C131</f>
        <v>PAB-3000LR|Aryx Weaponry Pack</v>
      </c>
      <c r="B131" s="0" t="s">
        <v>190</v>
      </c>
      <c r="C131" s="0" t="s">
        <v>191</v>
      </c>
      <c r="D131" s="0" t="s">
        <v>56</v>
      </c>
      <c r="E131" s="0" t="str">
        <f aca="false">IF(ISNUMBER(G131),"propulsé",IF(D131="Canon / mitrailleuse / lance-grenade","arme à feu","autre"))</f>
        <v>autre</v>
      </c>
      <c r="F131" s="27" t="n">
        <v>3250</v>
      </c>
      <c r="G131" s="28"/>
      <c r="H131" s="29"/>
      <c r="I131" s="27"/>
      <c r="J131" s="28"/>
      <c r="K131" s="30"/>
      <c r="L131" s="30"/>
      <c r="M131" s="31" t="str">
        <f aca="false">IF(AND(ISNUMBER(G131),ISNUMBER(H131),ISNUMBER(I131),ISNUMBER(F131)),IF(AND(G131&gt;0,H131&gt;0,I131&gt;0,F131&gt;I131),G131*H131/I131*LN(F131/(F131-I131)),"N/A"),"N/A")</f>
        <v>N/A</v>
      </c>
      <c r="N131" s="0" t="str">
        <f aca="false">IF(ISNUMBER(M131),IF(AND(H131&gt;=$B$7,G131/(F131*$B$9)&lt;$B$8),"croisière","fusée"),"N/A")</f>
        <v>N/A</v>
      </c>
      <c r="O131" s="32" t="str">
        <f aca="false">IF(N131="fusée",MIN(M131,IF(C131="Jeu de base",$B$4,$B$5)),IF(N131="croisière",$B$6*SQRT(G131),"N/A"))</f>
        <v>N/A</v>
      </c>
      <c r="P131" s="32" t="str">
        <f aca="false">IF(E131="propulsé",IF(ISNUMBER(O131),IF(AND(ISNUMBER(K131),ISNUMBER(L131)),MEDIAN(K131,L131,O131),IF(ISNUMBER(L131),L131,IF(ISNUMBER(K131),K131,O131))),IF(ISNUMBER(K131),K131,"N/A")),IF(E131="arme à feu",IF(ISNUMBER(J131),IF(ISNUMBER(K131),MIN(J131,K131),J131),"N/A"),"N/A"))</f>
        <v>N/A</v>
      </c>
      <c r="Q131" s="0" t="str">
        <f aca="false">IF(NOT(ISNUMBER(P131)),"aucune vitesse définie",IF(E131="arme à feu",IF(AND(ISNUMBER(K131),ISNUMBER(J131),K131&lt;J131),"vitesse max fixée (inférieure à la bouche)","vitesse initiale (bouche)"),IF(AND(ISNUMBER(K131),ISNUMBER(L131)),"médiane fichier / wiki / calcul",IF(ISNUMBER(L131),"wiki Delta-V",IF(ISNUMBER(K131),"vitesse fixée du fichier","calcul ("&amp;N131&amp;IF(AND(N131="fusée",M131&gt;O131),", plafonné","")&amp;")")))))</f>
        <v>aucune vitesse définie</v>
      </c>
      <c r="R131" s="32" t="str">
        <f aca="false">IF(ISNUMBER(P131),IF(E131="arme à feu",IF($B$10=1,P131,"N/A"),P131),"N/A")</f>
        <v>N/A</v>
      </c>
      <c r="S131" s="33" t="str">
        <f aca="false">IF(ISNUMBER(R131),ROUND(1+9*(SUMPRODUCT(ISNUMBER($R$21:$R$153)*($R$21:$R$153&lt;=R131))-1)/(COUNT($R$21:$R$153)-1),1),"N/A")</f>
        <v>N/A</v>
      </c>
      <c r="T131" s="34"/>
    </row>
    <row r="132" customFormat="false" ht="15" hidden="false" customHeight="false" outlineLevel="0" collapsed="false">
      <c r="A132" s="0" t="str">
        <f aca="false">B132&amp;"|"&amp;C132</f>
        <v>PGM-400LR|Aryx Weaponry Pack</v>
      </c>
      <c r="B132" s="0" t="s">
        <v>192</v>
      </c>
      <c r="C132" s="0" t="s">
        <v>191</v>
      </c>
      <c r="D132" s="0" t="s">
        <v>56</v>
      </c>
      <c r="E132" s="0" t="str">
        <f aca="false">IF(ISNUMBER(G132),"propulsé",IF(D132="Canon / mitrailleuse / lance-grenade","arme à feu","autre"))</f>
        <v>autre</v>
      </c>
      <c r="F132" s="27" t="n">
        <v>500</v>
      </c>
      <c r="G132" s="28"/>
      <c r="H132" s="29"/>
      <c r="I132" s="27"/>
      <c r="J132" s="28"/>
      <c r="K132" s="30"/>
      <c r="L132" s="30"/>
      <c r="M132" s="31" t="str">
        <f aca="false">IF(AND(ISNUMBER(G132),ISNUMBER(H132),ISNUMBER(I132),ISNUMBER(F132)),IF(AND(G132&gt;0,H132&gt;0,I132&gt;0,F132&gt;I132),G132*H132/I132*LN(F132/(F132-I132)),"N/A"),"N/A")</f>
        <v>N/A</v>
      </c>
      <c r="N132" s="0" t="str">
        <f aca="false">IF(ISNUMBER(M132),IF(AND(H132&gt;=$B$7,G132/(F132*$B$9)&lt;$B$8),"croisière","fusée"),"N/A")</f>
        <v>N/A</v>
      </c>
      <c r="O132" s="32" t="str">
        <f aca="false">IF(N132="fusée",MIN(M132,IF(C132="Jeu de base",$B$4,$B$5)),IF(N132="croisière",$B$6*SQRT(G132),"N/A"))</f>
        <v>N/A</v>
      </c>
      <c r="P132" s="32" t="str">
        <f aca="false">IF(E132="propulsé",IF(ISNUMBER(O132),IF(AND(ISNUMBER(K132),ISNUMBER(L132)),MEDIAN(K132,L132,O132),IF(ISNUMBER(L132),L132,IF(ISNUMBER(K132),K132,O132))),IF(ISNUMBER(K132),K132,"N/A")),IF(E132="arme à feu",IF(ISNUMBER(J132),IF(ISNUMBER(K132),MIN(J132,K132),J132),"N/A"),"N/A"))</f>
        <v>N/A</v>
      </c>
      <c r="Q132" s="0" t="str">
        <f aca="false">IF(NOT(ISNUMBER(P132)),"aucune vitesse définie",IF(E132="arme à feu",IF(AND(ISNUMBER(K132),ISNUMBER(J132),K132&lt;J132),"vitesse max fixée (inférieure à la bouche)","vitesse initiale (bouche)"),IF(AND(ISNUMBER(K132),ISNUMBER(L132)),"médiane fichier / wiki / calcul",IF(ISNUMBER(L132),"wiki Delta-V",IF(ISNUMBER(K132),"vitesse fixée du fichier","calcul ("&amp;N132&amp;IF(AND(N132="fusée",M132&gt;O132),", plafonné","")&amp;")")))))</f>
        <v>aucune vitesse définie</v>
      </c>
      <c r="R132" s="32" t="str">
        <f aca="false">IF(ISNUMBER(P132),IF(E132="arme à feu",IF($B$10=1,P132,"N/A"),P132),"N/A")</f>
        <v>N/A</v>
      </c>
      <c r="S132" s="33" t="str">
        <f aca="false">IF(ISNUMBER(R132),ROUND(1+9*(SUMPRODUCT(ISNUMBER($R$21:$R$153)*($R$21:$R$153&lt;=R132))-1)/(COUNT($R$21:$R$153)-1),1),"N/A")</f>
        <v>N/A</v>
      </c>
      <c r="T132" s="34"/>
    </row>
    <row r="133" customFormat="false" ht="15" hidden="false" customHeight="false" outlineLevel="0" collapsed="false">
      <c r="A133" s="0" t="str">
        <f aca="false">B133&amp;"|"&amp;C133</f>
        <v>30mm Autocannon|Aryx Weaponry Pack</v>
      </c>
      <c r="B133" s="0" t="s">
        <v>163</v>
      </c>
      <c r="C133" s="0" t="s">
        <v>191</v>
      </c>
      <c r="D133" s="0" t="s">
        <v>64</v>
      </c>
      <c r="E133" s="0" t="str">
        <f aca="false">IF(ISNUMBER(G133),"propulsé",IF(D133="Canon / mitrailleuse / lance-grenade","arme à feu","autre"))</f>
        <v>arme à feu</v>
      </c>
      <c r="F133" s="27" t="n">
        <v>0.4</v>
      </c>
      <c r="G133" s="28"/>
      <c r="H133" s="29"/>
      <c r="I133" s="27"/>
      <c r="J133" s="28" t="n">
        <v>790</v>
      </c>
      <c r="K133" s="30"/>
      <c r="L133" s="30"/>
      <c r="M133" s="31" t="str">
        <f aca="false">IF(AND(ISNUMBER(G133),ISNUMBER(H133),ISNUMBER(I133),ISNUMBER(F133)),IF(AND(G133&gt;0,H133&gt;0,I133&gt;0,F133&gt;I133),G133*H133/I133*LN(F133/(F133-I133)),"N/A"),"N/A")</f>
        <v>N/A</v>
      </c>
      <c r="N133" s="0" t="str">
        <f aca="false">IF(ISNUMBER(M133),IF(AND(H133&gt;=$B$7,G133/(F133*$B$9)&lt;$B$8),"croisière","fusée"),"N/A")</f>
        <v>N/A</v>
      </c>
      <c r="O133" s="32" t="str">
        <f aca="false">IF(N133="fusée",MIN(M133,IF(C133="Jeu de base",$B$4,$B$5)),IF(N133="croisière",$B$6*SQRT(G133),"N/A"))</f>
        <v>N/A</v>
      </c>
      <c r="P133" s="32" t="n">
        <f aca="false">IF(E133="propulsé",IF(ISNUMBER(O133),IF(AND(ISNUMBER(K133),ISNUMBER(L133)),MEDIAN(K133,L133,O133),IF(ISNUMBER(L133),L133,IF(ISNUMBER(K133),K133,O133))),IF(ISNUMBER(K133),K133,"N/A")),IF(E133="arme à feu",IF(ISNUMBER(J133),IF(ISNUMBER(K133),MIN(J133,K133),J133),"N/A"),"N/A"))</f>
        <v>790</v>
      </c>
      <c r="Q133" s="0" t="str">
        <f aca="false">IF(NOT(ISNUMBER(P133)),"aucune vitesse définie",IF(E133="arme à feu",IF(AND(ISNUMBER(K133),ISNUMBER(J133),K133&lt;J133),"vitesse max fixée (inférieure à la bouche)","vitesse initiale (bouche)"),IF(AND(ISNUMBER(K133),ISNUMBER(L133)),"médiane fichier / wiki / calcul",IF(ISNUMBER(L133),"wiki Delta-V",IF(ISNUMBER(K133),"vitesse fixée du fichier","calcul ("&amp;N133&amp;IF(AND(N133="fusée",M133&gt;O133),", plafonné","")&amp;")")))))</f>
        <v>vitesse initiale (bouche)</v>
      </c>
      <c r="R133" s="32" t="n">
        <f aca="false">IF(ISNUMBER(P133),IF(E133="arme à feu",IF($B$10=1,P133,"N/A"),P133),"N/A")</f>
        <v>790</v>
      </c>
      <c r="S133" s="33" t="n">
        <f aca="false">IF(ISNUMBER(R133),ROUND(1+9*(SUMPRODUCT(ISNUMBER($R$21:$R$153)*($R$21:$R$153&lt;=R133))-1)/(COUNT($R$21:$R$153)-1),1),"N/A")</f>
        <v>3.4</v>
      </c>
      <c r="T133" s="34"/>
    </row>
    <row r="134" customFormat="false" ht="15" hidden="false" customHeight="false" outlineLevel="0" collapsed="false">
      <c r="A134" s="0" t="str">
        <f aca="false">B134&amp;"|"&amp;C134</f>
        <v>ASD-16 Submunition Dispenser|Aryx Weaponry Pack</v>
      </c>
      <c r="B134" s="0" t="s">
        <v>194</v>
      </c>
      <c r="C134" s="0" t="s">
        <v>191</v>
      </c>
      <c r="D134" s="0" t="s">
        <v>195</v>
      </c>
      <c r="E134" s="0" t="str">
        <f aca="false">IF(ISNUMBER(G134),"propulsé",IF(D134="Canon / mitrailleuse / lance-grenade","arme à feu","autre"))</f>
        <v>autre</v>
      </c>
      <c r="F134" s="27" t="n">
        <v>25</v>
      </c>
      <c r="G134" s="28"/>
      <c r="H134" s="29"/>
      <c r="I134" s="27"/>
      <c r="J134" s="28"/>
      <c r="K134" s="30"/>
      <c r="L134" s="30"/>
      <c r="M134" s="31" t="str">
        <f aca="false">IF(AND(ISNUMBER(G134),ISNUMBER(H134),ISNUMBER(I134),ISNUMBER(F134)),IF(AND(G134&gt;0,H134&gt;0,I134&gt;0,F134&gt;I134),G134*H134/I134*LN(F134/(F134-I134)),"N/A"),"N/A")</f>
        <v>N/A</v>
      </c>
      <c r="N134" s="0" t="str">
        <f aca="false">IF(ISNUMBER(M134),IF(AND(H134&gt;=$B$7,G134/(F134*$B$9)&lt;$B$8),"croisière","fusée"),"N/A")</f>
        <v>N/A</v>
      </c>
      <c r="O134" s="32" t="str">
        <f aca="false">IF(N134="fusée",MIN(M134,IF(C134="Jeu de base",$B$4,$B$5)),IF(N134="croisière",$B$6*SQRT(G134),"N/A"))</f>
        <v>N/A</v>
      </c>
      <c r="P134" s="32" t="str">
        <f aca="false">IF(E134="propulsé",IF(ISNUMBER(O134),IF(AND(ISNUMBER(K134),ISNUMBER(L134)),MEDIAN(K134,L134,O134),IF(ISNUMBER(L134),L134,IF(ISNUMBER(K134),K134,O134))),IF(ISNUMBER(K134),K134,"N/A")),IF(E134="arme à feu",IF(ISNUMBER(J134),IF(ISNUMBER(K134),MIN(J134,K134),J134),"N/A"),"N/A"))</f>
        <v>N/A</v>
      </c>
      <c r="Q134" s="0" t="str">
        <f aca="false">IF(NOT(ISNUMBER(P134)),"aucune vitesse définie",IF(E134="arme à feu",IF(AND(ISNUMBER(K134),ISNUMBER(J134),K134&lt;J134),"vitesse max fixée (inférieure à la bouche)","vitesse initiale (bouche)"),IF(AND(ISNUMBER(K134),ISNUMBER(L134)),"médiane fichier / wiki / calcul",IF(ISNUMBER(L134),"wiki Delta-V",IF(ISNUMBER(K134),"vitesse fixée du fichier","calcul ("&amp;N134&amp;IF(AND(N134="fusée",M134&gt;O134),", plafonné","")&amp;")")))))</f>
        <v>aucune vitesse définie</v>
      </c>
      <c r="R134" s="32" t="str">
        <f aca="false">IF(ISNUMBER(P134),IF(E134="arme à feu",IF($B$10=1,P134,"N/A"),P134),"N/A")</f>
        <v>N/A</v>
      </c>
      <c r="S134" s="33" t="str">
        <f aca="false">IF(ISNUMBER(R134),ROUND(1+9*(SUMPRODUCT(ISNUMBER($R$21:$R$153)*($R$21:$R$153&lt;=R134))-1)/(COUNT($R$21:$R$153)-1),1),"N/A")</f>
        <v>N/A</v>
      </c>
      <c r="T134" s="34"/>
    </row>
    <row r="135" customFormat="false" ht="15" hidden="false" customHeight="false" outlineLevel="0" collapsed="false">
      <c r="A135" s="0" t="str">
        <f aca="false">B135&amp;"|"&amp;C135</f>
        <v>AGM-111 Nemesis|Aryx Weaponry Pack</v>
      </c>
      <c r="B135" s="0" t="s">
        <v>196</v>
      </c>
      <c r="C135" s="0" t="s">
        <v>191</v>
      </c>
      <c r="D135" s="0" t="s">
        <v>97</v>
      </c>
      <c r="E135" s="0" t="str">
        <f aca="false">IF(ISNUMBER(G135),"propulsé",IF(D135="Canon / mitrailleuse / lance-grenade","arme à feu","autre"))</f>
        <v>propulsé</v>
      </c>
      <c r="F135" s="27" t="n">
        <v>2400</v>
      </c>
      <c r="G135" s="28" t="n">
        <v>168000</v>
      </c>
      <c r="H135" s="29" t="n">
        <v>600</v>
      </c>
      <c r="I135" s="27" t="n">
        <v>450</v>
      </c>
      <c r="J135" s="28"/>
      <c r="K135" s="30"/>
      <c r="L135" s="30"/>
      <c r="M135" s="31" t="n">
        <f aca="false">IF(AND(ISNUMBER(G135),ISNUMBER(H135),ISNUMBER(I135),ISNUMBER(F135)),IF(AND(G135&gt;0,H135&gt;0,I135&gt;0,F135&gt;I135),G135*H135/I135*LN(F135/(F135-I135)),"N/A"),"N/A")</f>
        <v>46511.2177103268</v>
      </c>
      <c r="N135" s="0" t="str">
        <f aca="false">IF(ISNUMBER(M135),IF(AND(H135&gt;=$B$7,G135/(F135*$B$9)&lt;$B$8),"croisière","fusée"),"N/A")</f>
        <v>fusée</v>
      </c>
      <c r="O135" s="32" t="n">
        <f aca="false">IF(N135="fusée",MIN(M135,IF(C135="Jeu de base",$B$4,$B$5)),IF(N135="croisière",$B$6*SQRT(G135),"N/A"))</f>
        <v>2000</v>
      </c>
      <c r="P135" s="32" t="n">
        <f aca="false">IF(E135="propulsé",IF(ISNUMBER(O135),IF(AND(ISNUMBER(K135),ISNUMBER(L135)),MEDIAN(K135,L135,O135),IF(ISNUMBER(L135),L135,IF(ISNUMBER(K135),K135,O135))),IF(ISNUMBER(K135),K135,"N/A")),IF(E135="arme à feu",IF(ISNUMBER(J135),IF(ISNUMBER(K135),MIN(J135,K135),J135),"N/A"),"N/A"))</f>
        <v>2000</v>
      </c>
      <c r="Q135" s="0" t="str">
        <f aca="false">IF(NOT(ISNUMBER(P135)),"aucune vitesse définie",IF(E135="arme à feu",IF(AND(ISNUMBER(K135),ISNUMBER(J135),K135&lt;J135),"vitesse max fixée (inférieure à la bouche)","vitesse initiale (bouche)"),IF(AND(ISNUMBER(K135),ISNUMBER(L135)),"médiane fichier / wiki / calcul",IF(ISNUMBER(L135),"wiki Delta-V",IF(ISNUMBER(K135),"vitesse fixée du fichier","calcul ("&amp;N135&amp;IF(AND(N135="fusée",M135&gt;O135),", plafonné","")&amp;")")))))</f>
        <v>calcul (fusée, plafonné)</v>
      </c>
      <c r="R135" s="32" t="n">
        <f aca="false">IF(ISNUMBER(P135),IF(E135="arme à feu",IF($B$10=1,P135,"N/A"),P135),"N/A")</f>
        <v>2000</v>
      </c>
      <c r="S135" s="33" t="n">
        <f aca="false">IF(ISNUMBER(R135),ROUND(1+9*(SUMPRODUCT(ISNUMBER($R$21:$R$153)*($R$21:$R$153&lt;=R135))-1)/(COUNT($R$21:$R$153)-1),1),"N/A")</f>
        <v>9.5</v>
      </c>
      <c r="T135" s="34" t="n">
        <v>9.8</v>
      </c>
    </row>
    <row r="136" customFormat="false" ht="15" hidden="false" customHeight="false" outlineLevel="0" collapsed="false">
      <c r="A136" s="0" t="str">
        <f aca="false">B136&amp;"|"&amp;C136</f>
        <v>AGM-27 Pyre|Aryx Weaponry Pack</v>
      </c>
      <c r="B136" s="0" t="s">
        <v>197</v>
      </c>
      <c r="C136" s="0" t="s">
        <v>191</v>
      </c>
      <c r="D136" s="0" t="s">
        <v>97</v>
      </c>
      <c r="E136" s="0" t="str">
        <f aca="false">IF(ISNUMBER(G136),"propulsé",IF(D136="Canon / mitrailleuse / lance-grenade","arme à feu","autre"))</f>
        <v>propulsé</v>
      </c>
      <c r="F136" s="27" t="n">
        <v>60</v>
      </c>
      <c r="G136" s="28" t="n">
        <v>5250</v>
      </c>
      <c r="H136" s="29" t="n">
        <v>5</v>
      </c>
      <c r="I136" s="27" t="n">
        <v>20</v>
      </c>
      <c r="J136" s="28"/>
      <c r="K136" s="30"/>
      <c r="L136" s="30"/>
      <c r="M136" s="31" t="n">
        <f aca="false">IF(AND(ISNUMBER(G136),ISNUMBER(H136),ISNUMBER(I136),ISNUMBER(F136)),IF(AND(G136&gt;0,H136&gt;0,I136&gt;0,F136&gt;I136),G136*H136/I136*LN(F136/(F136-I136)),"N/A"),"N/A")</f>
        <v>532.172954391966</v>
      </c>
      <c r="N136" s="0" t="str">
        <f aca="false">IF(ISNUMBER(M136),IF(AND(H136&gt;=$B$7,G136/(F136*$B$9)&lt;$B$8),"croisière","fusée"),"N/A")</f>
        <v>fusée</v>
      </c>
      <c r="O136" s="32" t="n">
        <f aca="false">IF(N136="fusée",MIN(M136,IF(C136="Jeu de base",$B$4,$B$5)),IF(N136="croisière",$B$6*SQRT(G136),"N/A"))</f>
        <v>532.172954391966</v>
      </c>
      <c r="P136" s="32" t="n">
        <f aca="false">IF(E136="propulsé",IF(ISNUMBER(O136),IF(AND(ISNUMBER(K136),ISNUMBER(L136)),MEDIAN(K136,L136,O136),IF(ISNUMBER(L136),L136,IF(ISNUMBER(K136),K136,O136))),IF(ISNUMBER(K136),K136,"N/A")),IF(E136="arme à feu",IF(ISNUMBER(J136),IF(ISNUMBER(K136),MIN(J136,K136),J136),"N/A"),"N/A"))</f>
        <v>532.172954391966</v>
      </c>
      <c r="Q136" s="0" t="str">
        <f aca="false">IF(NOT(ISNUMBER(P136)),"aucune vitesse définie",IF(E136="arme à feu",IF(AND(ISNUMBER(K136),ISNUMBER(J136),K136&lt;J136),"vitesse max fixée (inférieure à la bouche)","vitesse initiale (bouche)"),IF(AND(ISNUMBER(K136),ISNUMBER(L136)),"médiane fichier / wiki / calcul",IF(ISNUMBER(L136),"wiki Delta-V",IF(ISNUMBER(K136),"vitesse fixée du fichier","calcul ("&amp;N136&amp;IF(AND(N136="fusée",M136&gt;O136),", plafonné","")&amp;")")))))</f>
        <v>calcul (fusée)</v>
      </c>
      <c r="R136" s="32" t="n">
        <f aca="false">IF(ISNUMBER(P136),IF(E136="arme à feu",IF($B$10=1,P136,"N/A"),P136),"N/A")</f>
        <v>532.172954391966</v>
      </c>
      <c r="S136" s="33" t="n">
        <f aca="false">IF(ISNUMBER(R136),ROUND(1+9*(SUMPRODUCT(ISNUMBER($R$21:$R$153)*($R$21:$R$153&lt;=R136))-1)/(COUNT($R$21:$R$153)-1),1),"N/A")</f>
        <v>2.6</v>
      </c>
      <c r="T136" s="34" t="n">
        <v>1.9</v>
      </c>
    </row>
    <row r="137" customFormat="false" ht="15" hidden="false" customHeight="false" outlineLevel="0" collapsed="false">
      <c r="A137" s="0" t="str">
        <f aca="false">B137&amp;"|"&amp;C137</f>
        <v>AGM-76 Atlatl|Aryx Weaponry Pack</v>
      </c>
      <c r="B137" s="0" t="s">
        <v>198</v>
      </c>
      <c r="C137" s="0" t="s">
        <v>191</v>
      </c>
      <c r="D137" s="0" t="s">
        <v>97</v>
      </c>
      <c r="E137" s="0" t="str">
        <f aca="false">IF(ISNUMBER(G137),"propulsé",IF(D137="Canon / mitrailleuse / lance-grenade","arme à feu","autre"))</f>
        <v>propulsé</v>
      </c>
      <c r="F137" s="27" t="n">
        <v>125</v>
      </c>
      <c r="G137" s="28" t="n">
        <v>1200</v>
      </c>
      <c r="H137" s="29" t="n">
        <v>120</v>
      </c>
      <c r="I137" s="27" t="n">
        <v>60</v>
      </c>
      <c r="J137" s="28"/>
      <c r="K137" s="30"/>
      <c r="L137" s="30"/>
      <c r="M137" s="31" t="n">
        <f aca="false">IF(AND(ISNUMBER(G137),ISNUMBER(H137),ISNUMBER(I137),ISNUMBER(F137)),IF(AND(G137&gt;0,H137&gt;0,I137&gt;0,F137&gt;I137),G137*H137/I137*LN(F137/(F137-I137)),"N/A"),"N/A")</f>
        <v>1569.42352177599</v>
      </c>
      <c r="N137" s="0" t="str">
        <f aca="false">IF(ISNUMBER(M137),IF(AND(H137&gt;=$B$7,G137/(F137*$B$9)&lt;$B$8),"croisière","fusée"),"N/A")</f>
        <v>croisière</v>
      </c>
      <c r="O137" s="32" t="n">
        <f aca="false">IF(N137="fusée",MIN(M137,IF(C137="Jeu de base",$B$4,$B$5)),IF(N137="croisière",$B$6*SQRT(G137),"N/A"))</f>
        <v>183.597385602301</v>
      </c>
      <c r="P137" s="32" t="n">
        <f aca="false">IF(E137="propulsé",IF(ISNUMBER(O137),IF(AND(ISNUMBER(K137),ISNUMBER(L137)),MEDIAN(K137,L137,O137),IF(ISNUMBER(L137),L137,IF(ISNUMBER(K137),K137,O137))),IF(ISNUMBER(K137),K137,"N/A")),IF(E137="arme à feu",IF(ISNUMBER(J137),IF(ISNUMBER(K137),MIN(J137,K137),J137),"N/A"),"N/A"))</f>
        <v>183.597385602301</v>
      </c>
      <c r="Q137" s="0" t="str">
        <f aca="false">IF(NOT(ISNUMBER(P137)),"aucune vitesse définie",IF(E137="arme à feu",IF(AND(ISNUMBER(K137),ISNUMBER(J137),K137&lt;J137),"vitesse max fixée (inférieure à la bouche)","vitesse initiale (bouche)"),IF(AND(ISNUMBER(K137),ISNUMBER(L137)),"médiane fichier / wiki / calcul",IF(ISNUMBER(L137),"wiki Delta-V",IF(ISNUMBER(K137),"vitesse fixée du fichier","calcul ("&amp;N137&amp;IF(AND(N137="fusée",M137&gt;O137),", plafonné","")&amp;")")))))</f>
        <v>calcul (croisière)</v>
      </c>
      <c r="R137" s="32" t="n">
        <f aca="false">IF(ISNUMBER(P137),IF(E137="arme à feu",IF($B$10=1,P137,"N/A"),P137),"N/A")</f>
        <v>183.597385602301</v>
      </c>
      <c r="S137" s="33" t="n">
        <f aca="false">IF(ISNUMBER(R137),ROUND(1+9*(SUMPRODUCT(ISNUMBER($R$21:$R$153)*($R$21:$R$153&lt;=R137))-1)/(COUNT($R$21:$R$153)-1),1),"N/A")</f>
        <v>1.2</v>
      </c>
      <c r="T137" s="34" t="n">
        <v>5.7</v>
      </c>
    </row>
    <row r="138" customFormat="false" ht="15" hidden="false" customHeight="false" outlineLevel="0" collapsed="false">
      <c r="A138" s="0" t="str">
        <f aca="false">B138&amp;"|"&amp;C138</f>
        <v>ARAD-45|Aryx Weaponry Pack</v>
      </c>
      <c r="B138" s="0" t="s">
        <v>114</v>
      </c>
      <c r="C138" s="0" t="s">
        <v>191</v>
      </c>
      <c r="D138" s="0" t="s">
        <v>97</v>
      </c>
      <c r="E138" s="0" t="str">
        <f aca="false">IF(ISNUMBER(G138),"propulsé",IF(D138="Canon / mitrailleuse / lance-grenade","arme à feu","autre"))</f>
        <v>propulsé</v>
      </c>
      <c r="F138" s="27" t="n">
        <v>180</v>
      </c>
      <c r="G138" s="28" t="n">
        <v>22000</v>
      </c>
      <c r="H138" s="29" t="n">
        <v>9</v>
      </c>
      <c r="I138" s="27" t="n">
        <v>68</v>
      </c>
      <c r="J138" s="28"/>
      <c r="K138" s="30" t="n">
        <v>1156.87</v>
      </c>
      <c r="L138" s="30"/>
      <c r="M138" s="31" t="n">
        <f aca="false">IF(AND(ISNUMBER(G138),ISNUMBER(H138),ISNUMBER(I138),ISNUMBER(F138)),IF(AND(G138&gt;0,H138&gt;0,I138&gt;0,F138&gt;I138),G138*H138/I138*LN(F138/(F138-I138)),"N/A"),"N/A")</f>
        <v>1381.50999940931</v>
      </c>
      <c r="N138" s="0" t="str">
        <f aca="false">IF(ISNUMBER(M138),IF(AND(H138&gt;=$B$7,G138/(F138*$B$9)&lt;$B$8),"croisière","fusée"),"N/A")</f>
        <v>fusée</v>
      </c>
      <c r="O138" s="32" t="n">
        <f aca="false">IF(N138="fusée",MIN(M138,IF(C138="Jeu de base",$B$4,$B$5)),IF(N138="croisière",$B$6*SQRT(G138),"N/A"))</f>
        <v>1381.50999940931</v>
      </c>
      <c r="P138" s="32" t="n">
        <f aca="false">IF(E138="propulsé",IF(ISNUMBER(O138),IF(AND(ISNUMBER(K138),ISNUMBER(L138)),MEDIAN(K138,L138,O138),IF(ISNUMBER(L138),L138,IF(ISNUMBER(K138),K138,O138))),IF(ISNUMBER(K138),K138,"N/A")),IF(E138="arme à feu",IF(ISNUMBER(J138),IF(ISNUMBER(K138),MIN(J138,K138),J138),"N/A"),"N/A"))</f>
        <v>1156.87</v>
      </c>
      <c r="Q138" s="0" t="str">
        <f aca="false">IF(NOT(ISNUMBER(P138)),"aucune vitesse définie",IF(E138="arme à feu",IF(AND(ISNUMBER(K138),ISNUMBER(J138),K138&lt;J138),"vitesse max fixée (inférieure à la bouche)","vitesse initiale (bouche)"),IF(AND(ISNUMBER(K138),ISNUMBER(L138)),"médiane fichier / wiki / calcul",IF(ISNUMBER(L138),"wiki Delta-V",IF(ISNUMBER(K138),"vitesse fixée du fichier","calcul ("&amp;N138&amp;IF(AND(N138="fusée",M138&gt;O138),", plafonné","")&amp;")")))))</f>
        <v>vitesse fixée du fichier</v>
      </c>
      <c r="R138" s="32" t="n">
        <f aca="false">IF(ISNUMBER(P138),IF(E138="arme à feu",IF($B$10=1,P138,"N/A"),P138),"N/A")</f>
        <v>1156.87</v>
      </c>
      <c r="S138" s="33" t="n">
        <f aca="false">IF(ISNUMBER(R138),ROUND(1+9*(SUMPRODUCT(ISNUMBER($R$21:$R$153)*($R$21:$R$153&lt;=R138))-1)/(COUNT($R$21:$R$153)-1),1),"N/A")</f>
        <v>7.3</v>
      </c>
      <c r="T138" s="34" t="n">
        <v>4.8</v>
      </c>
    </row>
    <row r="139" customFormat="false" ht="15" hidden="false" customHeight="false" outlineLevel="0" collapsed="false">
      <c r="A139" s="0" t="str">
        <f aca="false">B139&amp;"|"&amp;C139</f>
        <v>HSM-750 Starfall|Aryx Weaponry Pack</v>
      </c>
      <c r="B139" s="0" t="s">
        <v>200</v>
      </c>
      <c r="C139" s="0" t="s">
        <v>191</v>
      </c>
      <c r="D139" s="0" t="s">
        <v>97</v>
      </c>
      <c r="E139" s="0" t="str">
        <f aca="false">IF(ISNUMBER(G139),"propulsé",IF(D139="Canon / mitrailleuse / lance-grenade","arme à feu","autre"))</f>
        <v>propulsé</v>
      </c>
      <c r="F139" s="27" t="n">
        <v>4000</v>
      </c>
      <c r="G139" s="28" t="n">
        <v>570000</v>
      </c>
      <c r="H139" s="29" t="n">
        <v>120</v>
      </c>
      <c r="I139" s="27" t="n">
        <v>2300</v>
      </c>
      <c r="J139" s="28"/>
      <c r="K139" s="30" t="n">
        <v>2000</v>
      </c>
      <c r="L139" s="30"/>
      <c r="M139" s="31" t="n">
        <f aca="false">IF(AND(ISNUMBER(G139),ISNUMBER(H139),ISNUMBER(I139),ISNUMBER(F139)),IF(AND(G139&gt;0,H139&gt;0,I139&gt;0,F139&gt;I139),G139*H139/I139*LN(F139/(F139-I139)),"N/A"),"N/A")</f>
        <v>25446.7660556296</v>
      </c>
      <c r="N139" s="0" t="str">
        <f aca="false">IF(ISNUMBER(M139),IF(AND(H139&gt;=$B$7,G139/(F139*$B$9)&lt;$B$8),"croisière","fusée"),"N/A")</f>
        <v>fusée</v>
      </c>
      <c r="O139" s="32" t="n">
        <f aca="false">IF(N139="fusée",MIN(M139,IF(C139="Jeu de base",$B$4,$B$5)),IF(N139="croisière",$B$6*SQRT(G139),"N/A"))</f>
        <v>2000</v>
      </c>
      <c r="P139" s="32" t="n">
        <f aca="false">IF(E139="propulsé",IF(ISNUMBER(O139),IF(AND(ISNUMBER(K139),ISNUMBER(L139)),MEDIAN(K139,L139,O139),IF(ISNUMBER(L139),L139,IF(ISNUMBER(K139),K139,O139))),IF(ISNUMBER(K139),K139,"N/A")),IF(E139="arme à feu",IF(ISNUMBER(J139),IF(ISNUMBER(K139),MIN(J139,K139),J139),"N/A"),"N/A"))</f>
        <v>2000</v>
      </c>
      <c r="Q139" s="0" t="str">
        <f aca="false">IF(NOT(ISNUMBER(P139)),"aucune vitesse définie",IF(E139="arme à feu",IF(AND(ISNUMBER(K139),ISNUMBER(J139),K139&lt;J139),"vitesse max fixée (inférieure à la bouche)","vitesse initiale (bouche)"),IF(AND(ISNUMBER(K139),ISNUMBER(L139)),"médiane fichier / wiki / calcul",IF(ISNUMBER(L139),"wiki Delta-V",IF(ISNUMBER(K139),"vitesse fixée du fichier","calcul ("&amp;N139&amp;IF(AND(N139="fusée",M139&gt;O139),", plafonné","")&amp;")")))))</f>
        <v>vitesse fixée du fichier</v>
      </c>
      <c r="R139" s="32" t="n">
        <f aca="false">IF(ISNUMBER(P139),IF(E139="arme à feu",IF($B$10=1,P139,"N/A"),P139),"N/A")</f>
        <v>2000</v>
      </c>
      <c r="S139" s="33" t="n">
        <f aca="false">IF(ISNUMBER(R139),ROUND(1+9*(SUMPRODUCT(ISNUMBER($R$21:$R$153)*($R$21:$R$153&lt;=R139))-1)/(COUNT($R$21:$R$153)-1),1),"N/A")</f>
        <v>9.5</v>
      </c>
      <c r="T139" s="34" t="n">
        <v>9.3</v>
      </c>
    </row>
    <row r="140" customFormat="false" ht="15" hidden="false" customHeight="false" outlineLevel="0" collapsed="false">
      <c r="A140" s="0" t="str">
        <f aca="false">B140&amp;"|"&amp;C140</f>
        <v>IRM-S5 Gladius|Aryx Weaponry Pack</v>
      </c>
      <c r="B140" s="0" t="s">
        <v>203</v>
      </c>
      <c r="C140" s="0" t="s">
        <v>191</v>
      </c>
      <c r="D140" s="0" t="s">
        <v>97</v>
      </c>
      <c r="E140" s="0" t="str">
        <f aca="false">IF(ISNUMBER(G140),"propulsé",IF(D140="Canon / mitrailleuse / lance-grenade","arme à feu","autre"))</f>
        <v>propulsé</v>
      </c>
      <c r="F140" s="27" t="n">
        <v>50</v>
      </c>
      <c r="G140" s="28" t="n">
        <v>30000</v>
      </c>
      <c r="H140" s="29" t="n">
        <v>3.5</v>
      </c>
      <c r="I140" s="27" t="n">
        <v>20</v>
      </c>
      <c r="J140" s="28"/>
      <c r="K140" s="30"/>
      <c r="L140" s="30"/>
      <c r="M140" s="31" t="n">
        <f aca="false">IF(AND(ISNUMBER(G140),ISNUMBER(H140),ISNUMBER(I140),ISNUMBER(F140)),IF(AND(G140&gt;0,H140&gt;0,I140&gt;0,F140&gt;I140),G140*H140/I140*LN(F140/(F140-I140)),"N/A"),"N/A")</f>
        <v>2681.83452477145</v>
      </c>
      <c r="N140" s="0" t="str">
        <f aca="false">IF(ISNUMBER(M140),IF(AND(H140&gt;=$B$7,G140/(F140*$B$9)&lt;$B$8),"croisière","fusée"),"N/A")</f>
        <v>fusée</v>
      </c>
      <c r="O140" s="32" t="n">
        <f aca="false">IF(N140="fusée",MIN(M140,IF(C140="Jeu de base",$B$4,$B$5)),IF(N140="croisière",$B$6*SQRT(G140),"N/A"))</f>
        <v>2000</v>
      </c>
      <c r="P140" s="32" t="n">
        <f aca="false">IF(E140="propulsé",IF(ISNUMBER(O140),IF(AND(ISNUMBER(K140),ISNUMBER(L140)),MEDIAN(K140,L140,O140),IF(ISNUMBER(L140),L140,IF(ISNUMBER(K140),K140,O140))),IF(ISNUMBER(K140),K140,"N/A")),IF(E140="arme à feu",IF(ISNUMBER(J140),IF(ISNUMBER(K140),MIN(J140,K140),J140),"N/A"),"N/A"))</f>
        <v>2000</v>
      </c>
      <c r="Q140" s="0" t="str">
        <f aca="false">IF(NOT(ISNUMBER(P140)),"aucune vitesse définie",IF(E140="arme à feu",IF(AND(ISNUMBER(K140),ISNUMBER(J140),K140&lt;J140),"vitesse max fixée (inférieure à la bouche)","vitesse initiale (bouche)"),IF(AND(ISNUMBER(K140),ISNUMBER(L140)),"médiane fichier / wiki / calcul",IF(ISNUMBER(L140),"wiki Delta-V",IF(ISNUMBER(K140),"vitesse fixée du fichier","calcul ("&amp;N140&amp;IF(AND(N140="fusée",M140&gt;O140),", plafonné","")&amp;")")))))</f>
        <v>calcul (fusée, plafonné)</v>
      </c>
      <c r="R140" s="32" t="n">
        <f aca="false">IF(ISNUMBER(P140),IF(E140="arme à feu",IF($B$10=1,P140,"N/A"),P140),"N/A")</f>
        <v>2000</v>
      </c>
      <c r="S140" s="33" t="n">
        <f aca="false">IF(ISNUMBER(R140),ROUND(1+9*(SUMPRODUCT(ISNUMBER($R$21:$R$153)*($R$21:$R$153&lt;=R140))-1)/(COUNT($R$21:$R$153)-1),1),"N/A")</f>
        <v>9.5</v>
      </c>
      <c r="T140" s="34" t="n">
        <v>7.1</v>
      </c>
    </row>
    <row r="141" customFormat="false" ht="15" hidden="false" customHeight="false" outlineLevel="0" collapsed="false">
      <c r="A141" s="0" t="str">
        <f aca="false">B141&amp;"|"&amp;C141</f>
        <v>MRM-S4 Broadsword|Aryx Weaponry Pack</v>
      </c>
      <c r="B141" s="0" t="s">
        <v>204</v>
      </c>
      <c r="C141" s="0" t="s">
        <v>191</v>
      </c>
      <c r="D141" s="0" t="s">
        <v>97</v>
      </c>
      <c r="E141" s="0" t="str">
        <f aca="false">IF(ISNUMBER(G141),"propulsé",IF(D141="Canon / mitrailleuse / lance-grenade","arme à feu","autre"))</f>
        <v>propulsé</v>
      </c>
      <c r="F141" s="27" t="n">
        <v>80</v>
      </c>
      <c r="G141" s="28" t="n">
        <v>22000</v>
      </c>
      <c r="H141" s="29" t="n">
        <v>7.5</v>
      </c>
      <c r="I141" s="27" t="n">
        <v>30</v>
      </c>
      <c r="J141" s="28"/>
      <c r="K141" s="30"/>
      <c r="L141" s="30"/>
      <c r="M141" s="31" t="n">
        <f aca="false">IF(AND(ISNUMBER(G141),ISNUMBER(H141),ISNUMBER(I141),ISNUMBER(F141)),IF(AND(G141&gt;0,H141&gt;0,I141&gt;0,F141&gt;I141),G141*H141/I141*LN(F141/(F141-I141)),"N/A"),"N/A")</f>
        <v>2585.01996085155</v>
      </c>
      <c r="N141" s="0" t="str">
        <f aca="false">IF(ISNUMBER(M141),IF(AND(H141&gt;=$B$7,G141/(F141*$B$9)&lt;$B$8),"croisière","fusée"),"N/A")</f>
        <v>fusée</v>
      </c>
      <c r="O141" s="32" t="n">
        <f aca="false">IF(N141="fusée",MIN(M141,IF(C141="Jeu de base",$B$4,$B$5)),IF(N141="croisière",$B$6*SQRT(G141),"N/A"))</f>
        <v>2000</v>
      </c>
      <c r="P141" s="32" t="n">
        <f aca="false">IF(E141="propulsé",IF(ISNUMBER(O141),IF(AND(ISNUMBER(K141),ISNUMBER(L141)),MEDIAN(K141,L141,O141),IF(ISNUMBER(L141),L141,IF(ISNUMBER(K141),K141,O141))),IF(ISNUMBER(K141),K141,"N/A")),IF(E141="arme à feu",IF(ISNUMBER(J141),IF(ISNUMBER(K141),MIN(J141,K141),J141),"N/A"),"N/A"))</f>
        <v>2000</v>
      </c>
      <c r="Q141" s="0" t="str">
        <f aca="false">IF(NOT(ISNUMBER(P141)),"aucune vitesse définie",IF(E141="arme à feu",IF(AND(ISNUMBER(K141),ISNUMBER(J141),K141&lt;J141),"vitesse max fixée (inférieure à la bouche)","vitesse initiale (bouche)"),IF(AND(ISNUMBER(K141),ISNUMBER(L141)),"médiane fichier / wiki / calcul",IF(ISNUMBER(L141),"wiki Delta-V",IF(ISNUMBER(K141),"vitesse fixée du fichier","calcul ("&amp;N141&amp;IF(AND(N141="fusée",M141&gt;O141),", plafonné","")&amp;")")))))</f>
        <v>calcul (fusée, plafonné)</v>
      </c>
      <c r="R141" s="32" t="n">
        <f aca="false">IF(ISNUMBER(P141),IF(E141="arme à feu",IF($B$10=1,P141,"N/A"),P141),"N/A")</f>
        <v>2000</v>
      </c>
      <c r="S141" s="33" t="n">
        <f aca="false">IF(ISNUMBER(R141),ROUND(1+9*(SUMPRODUCT(ISNUMBER($R$21:$R$153)*($R$21:$R$153&lt;=R141))-1)/(COUNT($R$21:$R$153)-1),1),"N/A")</f>
        <v>9.5</v>
      </c>
      <c r="T141" s="34" t="n">
        <v>6.9</v>
      </c>
    </row>
    <row r="142" customFormat="false" ht="15" hidden="false" customHeight="false" outlineLevel="0" collapsed="false">
      <c r="A142" s="0" t="str">
        <f aca="false">B142&amp;"|"&amp;C142</f>
        <v>R-100N Zenith|Aryx Weaponry Pack</v>
      </c>
      <c r="B142" s="0" t="s">
        <v>205</v>
      </c>
      <c r="C142" s="0" t="s">
        <v>191</v>
      </c>
      <c r="D142" s="0" t="s">
        <v>97</v>
      </c>
      <c r="E142" s="0" t="str">
        <f aca="false">IF(ISNUMBER(G142),"propulsé",IF(D142="Canon / mitrailleuse / lance-grenade","arme à feu","autre"))</f>
        <v>propulsé</v>
      </c>
      <c r="F142" s="27" t="n">
        <v>1000</v>
      </c>
      <c r="G142" s="28" t="n">
        <v>200000</v>
      </c>
      <c r="H142" s="29" t="n">
        <v>40</v>
      </c>
      <c r="I142" s="27" t="n">
        <v>400</v>
      </c>
      <c r="J142" s="28"/>
      <c r="K142" s="30" t="n">
        <v>2000</v>
      </c>
      <c r="L142" s="30"/>
      <c r="M142" s="31" t="n">
        <f aca="false">IF(AND(ISNUMBER(G142),ISNUMBER(H142),ISNUMBER(I142),ISNUMBER(F142)),IF(AND(G142&gt;0,H142&gt;0,I142&gt;0,F142&gt;I142),G142*H142/I142*LN(F142/(F142-I142)),"N/A"),"N/A")</f>
        <v>10216.5124753198</v>
      </c>
      <c r="N142" s="0" t="str">
        <f aca="false">IF(ISNUMBER(M142),IF(AND(H142&gt;=$B$7,G142/(F142*$B$9)&lt;$B$8),"croisière","fusée"),"N/A")</f>
        <v>fusée</v>
      </c>
      <c r="O142" s="32" t="n">
        <f aca="false">IF(N142="fusée",MIN(M142,IF(C142="Jeu de base",$B$4,$B$5)),IF(N142="croisière",$B$6*SQRT(G142),"N/A"))</f>
        <v>2000</v>
      </c>
      <c r="P142" s="32" t="n">
        <f aca="false">IF(E142="propulsé",IF(ISNUMBER(O142),IF(AND(ISNUMBER(K142),ISNUMBER(L142)),MEDIAN(K142,L142,O142),IF(ISNUMBER(L142),L142,IF(ISNUMBER(K142),K142,O142))),IF(ISNUMBER(K142),K142,"N/A")),IF(E142="arme à feu",IF(ISNUMBER(J142),IF(ISNUMBER(K142),MIN(J142,K142),J142),"N/A"),"N/A"))</f>
        <v>2000</v>
      </c>
      <c r="Q142" s="0" t="str">
        <f aca="false">IF(NOT(ISNUMBER(P142)),"aucune vitesse définie",IF(E142="arme à feu",IF(AND(ISNUMBER(K142),ISNUMBER(J142),K142&lt;J142),"vitesse max fixée (inférieure à la bouche)","vitesse initiale (bouche)"),IF(AND(ISNUMBER(K142),ISNUMBER(L142)),"médiane fichier / wiki / calcul",IF(ISNUMBER(L142),"wiki Delta-V",IF(ISNUMBER(K142),"vitesse fixée du fichier","calcul ("&amp;N142&amp;IF(AND(N142="fusée",M142&gt;O142),", plafonné","")&amp;")")))))</f>
        <v>vitesse fixée du fichier</v>
      </c>
      <c r="R142" s="32" t="n">
        <f aca="false">IF(ISNUMBER(P142),IF(E142="arme à feu",IF($B$10=1,P142,"N/A"),P142),"N/A")</f>
        <v>2000</v>
      </c>
      <c r="S142" s="33" t="n">
        <f aca="false">IF(ISNUMBER(R142),ROUND(1+9*(SUMPRODUCT(ISNUMBER($R$21:$R$153)*($R$21:$R$153&lt;=R142))-1)/(COUNT($R$21:$R$153)-1),1),"N/A")</f>
        <v>9.5</v>
      </c>
      <c r="T142" s="34" t="n">
        <v>8.9</v>
      </c>
    </row>
    <row r="143" customFormat="false" ht="15" hidden="false" customHeight="false" outlineLevel="0" collapsed="false">
      <c r="A143" s="0" t="str">
        <f aca="false">B143&amp;"|"&amp;C143</f>
        <v>HSM-N Sunfall|Aryx Weaponry Pack</v>
      </c>
      <c r="B143" s="0" t="s">
        <v>208</v>
      </c>
      <c r="C143" s="0" t="s">
        <v>191</v>
      </c>
      <c r="D143" s="0" t="s">
        <v>138</v>
      </c>
      <c r="E143" s="0" t="str">
        <f aca="false">IF(ISNUMBER(G143),"propulsé",IF(D143="Canon / mitrailleuse / lance-grenade","arme à feu","autre"))</f>
        <v>propulsé</v>
      </c>
      <c r="F143" s="27" t="n">
        <v>4000</v>
      </c>
      <c r="G143" s="28" t="n">
        <v>570000</v>
      </c>
      <c r="H143" s="29" t="n">
        <v>120</v>
      </c>
      <c r="I143" s="27" t="n">
        <v>2300</v>
      </c>
      <c r="J143" s="28"/>
      <c r="K143" s="30"/>
      <c r="L143" s="30"/>
      <c r="M143" s="31" t="n">
        <f aca="false">IF(AND(ISNUMBER(G143),ISNUMBER(H143),ISNUMBER(I143),ISNUMBER(F143)),IF(AND(G143&gt;0,H143&gt;0,I143&gt;0,F143&gt;I143),G143*H143/I143*LN(F143/(F143-I143)),"N/A"),"N/A")</f>
        <v>25446.7660556296</v>
      </c>
      <c r="N143" s="0" t="str">
        <f aca="false">IF(ISNUMBER(M143),IF(AND(H143&gt;=$B$7,G143/(F143*$B$9)&lt;$B$8),"croisière","fusée"),"N/A")</f>
        <v>fusée</v>
      </c>
      <c r="O143" s="32" t="n">
        <f aca="false">IF(N143="fusée",MIN(M143,IF(C143="Jeu de base",$B$4,$B$5)),IF(N143="croisière",$B$6*SQRT(G143),"N/A"))</f>
        <v>2000</v>
      </c>
      <c r="P143" s="32" t="n">
        <f aca="false">IF(E143="propulsé",IF(ISNUMBER(O143),IF(AND(ISNUMBER(K143),ISNUMBER(L143)),MEDIAN(K143,L143,O143),IF(ISNUMBER(L143),L143,IF(ISNUMBER(K143),K143,O143))),IF(ISNUMBER(K143),K143,"N/A")),IF(E143="arme à feu",IF(ISNUMBER(J143),IF(ISNUMBER(K143),MIN(J143,K143),J143),"N/A"),"N/A"))</f>
        <v>2000</v>
      </c>
      <c r="Q143" s="0" t="str">
        <f aca="false">IF(NOT(ISNUMBER(P143)),"aucune vitesse définie",IF(E143="arme à feu",IF(AND(ISNUMBER(K143),ISNUMBER(J143),K143&lt;J143),"vitesse max fixée (inférieure à la bouche)","vitesse initiale (bouche)"),IF(AND(ISNUMBER(K143),ISNUMBER(L143)),"médiane fichier / wiki / calcul",IF(ISNUMBER(L143),"wiki Delta-V",IF(ISNUMBER(K143),"vitesse fixée du fichier","calcul ("&amp;N143&amp;IF(AND(N143="fusée",M143&gt;O143),", plafonné","")&amp;")")))))</f>
        <v>calcul (fusée, plafonné)</v>
      </c>
      <c r="R143" s="32" t="n">
        <f aca="false">IF(ISNUMBER(P143),IF(E143="arme à feu",IF($B$10=1,P143,"N/A"),P143),"N/A")</f>
        <v>2000</v>
      </c>
      <c r="S143" s="33" t="n">
        <f aca="false">IF(ISNUMBER(R143),ROUND(1+9*(SUMPRODUCT(ISNUMBER($R$21:$R$153)*($R$21:$R$153&lt;=R143))-1)/(COUNT($R$21:$R$153)-1),1),"N/A")</f>
        <v>9.5</v>
      </c>
      <c r="T143" s="34" t="n">
        <v>9.3</v>
      </c>
    </row>
    <row r="144" customFormat="false" ht="15" hidden="false" customHeight="false" outlineLevel="0" collapsed="false">
      <c r="A144" s="0" t="str">
        <f aca="false">B144&amp;"|"&amp;C144</f>
        <v>Tusko-N (1.5kt)|Aryx Weaponry Pack</v>
      </c>
      <c r="B144" s="0" t="s">
        <v>209</v>
      </c>
      <c r="C144" s="0" t="s">
        <v>191</v>
      </c>
      <c r="D144" s="0" t="s">
        <v>138</v>
      </c>
      <c r="E144" s="0" t="str">
        <f aca="false">IF(ISNUMBER(G144),"propulsé",IF(D144="Canon / mitrailleuse / lance-grenade","arme à feu","autre"))</f>
        <v>propulsé</v>
      </c>
      <c r="F144" s="27" t="n">
        <v>650</v>
      </c>
      <c r="G144" s="28" t="n">
        <v>22000</v>
      </c>
      <c r="H144" s="29" t="n">
        <v>20</v>
      </c>
      <c r="I144" s="27" t="n">
        <v>300</v>
      </c>
      <c r="J144" s="28"/>
      <c r="K144" s="30"/>
      <c r="L144" s="30"/>
      <c r="M144" s="31" t="n">
        <f aca="false">IF(AND(ISNUMBER(G144),ISNUMBER(H144),ISNUMBER(I144),ISNUMBER(F144)),IF(AND(G144&gt;0,H144&gt;0,I144&gt;0,F144&gt;I144),G144*H144/I144*LN(F144/(F144-I144)),"N/A"),"N/A")</f>
        <v>907.924172329128</v>
      </c>
      <c r="N144" s="0" t="str">
        <f aca="false">IF(ISNUMBER(M144),IF(AND(H144&gt;=$B$7,G144/(F144*$B$9)&lt;$B$8),"croisière","fusée"),"N/A")</f>
        <v>fusée</v>
      </c>
      <c r="O144" s="32" t="n">
        <f aca="false">IF(N144="fusée",MIN(M144,IF(C144="Jeu de base",$B$4,$B$5)),IF(N144="croisière",$B$6*SQRT(G144),"N/A"))</f>
        <v>907.924172329128</v>
      </c>
      <c r="P144" s="32" t="n">
        <f aca="false">IF(E144="propulsé",IF(ISNUMBER(O144),IF(AND(ISNUMBER(K144),ISNUMBER(L144)),MEDIAN(K144,L144,O144),IF(ISNUMBER(L144),L144,IF(ISNUMBER(K144),K144,O144))),IF(ISNUMBER(K144),K144,"N/A")),IF(E144="arme à feu",IF(ISNUMBER(J144),IF(ISNUMBER(K144),MIN(J144,K144),J144),"N/A"),"N/A"))</f>
        <v>907.924172329128</v>
      </c>
      <c r="Q144" s="0" t="str">
        <f aca="false">IF(NOT(ISNUMBER(P144)),"aucune vitesse définie",IF(E144="arme à feu",IF(AND(ISNUMBER(K144),ISNUMBER(J144),K144&lt;J144),"vitesse max fixée (inférieure à la bouche)","vitesse initiale (bouche)"),IF(AND(ISNUMBER(K144),ISNUMBER(L144)),"médiane fichier / wiki / calcul",IF(ISNUMBER(L144),"wiki Delta-V",IF(ISNUMBER(K144),"vitesse fixée du fichier","calcul ("&amp;N144&amp;IF(AND(N144="fusée",M144&gt;O144),", plafonné","")&amp;")")))))</f>
        <v>calcul (fusée)</v>
      </c>
      <c r="R144" s="32" t="n">
        <f aca="false">IF(ISNUMBER(P144),IF(E144="arme à feu",IF($B$10=1,P144,"N/A"),P144),"N/A")</f>
        <v>907.924172329128</v>
      </c>
      <c r="S144" s="33" t="n">
        <f aca="false">IF(ISNUMBER(R144),ROUND(1+9*(SUMPRODUCT(ISNUMBER($R$21:$R$153)*($R$21:$R$153&lt;=R144))-1)/(COUNT($R$21:$R$153)-1),1),"N/A")</f>
        <v>4.9</v>
      </c>
      <c r="T144" s="34" t="n">
        <v>3.3</v>
      </c>
    </row>
    <row r="145" customFormat="false" ht="15" hidden="false" customHeight="false" outlineLevel="0" collapsed="false">
      <c r="A145" s="0" t="str">
        <f aca="false">B145&amp;"|"&amp;C145</f>
        <v>ETS-15 Targeting Pod|Aryx Weaponry Pack</v>
      </c>
      <c r="B145" s="0" t="s">
        <v>210</v>
      </c>
      <c r="C145" s="0" t="s">
        <v>191</v>
      </c>
      <c r="D145" s="0" t="s">
        <v>211</v>
      </c>
      <c r="E145" s="0" t="str">
        <f aca="false">IF(ISNUMBER(G145),"propulsé",IF(D145="Canon / mitrailleuse / lance-grenade","arme à feu","autre"))</f>
        <v>autre</v>
      </c>
      <c r="F145" s="27" t="n">
        <v>0</v>
      </c>
      <c r="G145" s="28"/>
      <c r="H145" s="29"/>
      <c r="I145" s="27"/>
      <c r="J145" s="28"/>
      <c r="K145" s="30"/>
      <c r="L145" s="30"/>
      <c r="M145" s="31" t="str">
        <f aca="false">IF(AND(ISNUMBER(G145),ISNUMBER(H145),ISNUMBER(I145),ISNUMBER(F145)),IF(AND(G145&gt;0,H145&gt;0,I145&gt;0,F145&gt;I145),G145*H145/I145*LN(F145/(F145-I145)),"N/A"),"N/A")</f>
        <v>N/A</v>
      </c>
      <c r="N145" s="0" t="str">
        <f aca="false">IF(ISNUMBER(M145),IF(AND(H145&gt;=$B$7,G145/(F145*$B$9)&lt;$B$8),"croisière","fusée"),"N/A")</f>
        <v>N/A</v>
      </c>
      <c r="O145" s="32" t="str">
        <f aca="false">IF(N145="fusée",MIN(M145,IF(C145="Jeu de base",$B$4,$B$5)),IF(N145="croisière",$B$6*SQRT(G145),"N/A"))</f>
        <v>N/A</v>
      </c>
      <c r="P145" s="32" t="str">
        <f aca="false">IF(E145="propulsé",IF(ISNUMBER(O145),IF(AND(ISNUMBER(K145),ISNUMBER(L145)),MEDIAN(K145,L145,O145),IF(ISNUMBER(L145),L145,IF(ISNUMBER(K145),K145,O145))),IF(ISNUMBER(K145),K145,"N/A")),IF(E145="arme à feu",IF(ISNUMBER(J145),IF(ISNUMBER(K145),MIN(J145,K145),J145),"N/A"),"N/A"))</f>
        <v>N/A</v>
      </c>
      <c r="Q145" s="0" t="str">
        <f aca="false">IF(NOT(ISNUMBER(P145)),"aucune vitesse définie",IF(E145="arme à feu",IF(AND(ISNUMBER(K145),ISNUMBER(J145),K145&lt;J145),"vitesse max fixée (inférieure à la bouche)","vitesse initiale (bouche)"),IF(AND(ISNUMBER(K145),ISNUMBER(L145)),"médiane fichier / wiki / calcul",IF(ISNUMBER(L145),"wiki Delta-V",IF(ISNUMBER(K145),"vitesse fixée du fichier","calcul ("&amp;N145&amp;IF(AND(N145="fusée",M145&gt;O145),", plafonné","")&amp;")")))))</f>
        <v>aucune vitesse définie</v>
      </c>
      <c r="R145" s="32" t="str">
        <f aca="false">IF(ISNUMBER(P145),IF(E145="arme à feu",IF($B$10=1,P145,"N/A"),P145),"N/A")</f>
        <v>N/A</v>
      </c>
      <c r="S145" s="33" t="str">
        <f aca="false">IF(ISNUMBER(R145),ROUND(1+9*(SUMPRODUCT(ISNUMBER($R$21:$R$153)*($R$21:$R$153&lt;=R145))-1)/(COUNT($R$21:$R$153)-1),1),"N/A")</f>
        <v>N/A</v>
      </c>
      <c r="T145" s="34"/>
    </row>
    <row r="146" customFormat="false" ht="15" hidden="false" customHeight="false" outlineLevel="0" collapsed="false">
      <c r="A146" s="0" t="str">
        <f aca="false">B146&amp;"|"&amp;C146</f>
        <v>ECS-16 Countermeasure Dispenser|Aryx Weaponry Pack</v>
      </c>
      <c r="B146" s="0" t="s">
        <v>212</v>
      </c>
      <c r="C146" s="0" t="s">
        <v>191</v>
      </c>
      <c r="D146" s="0" t="s">
        <v>213</v>
      </c>
      <c r="E146" s="0" t="str">
        <f aca="false">IF(ISNUMBER(G146),"propulsé",IF(D146="Canon / mitrailleuse / lance-grenade","arme à feu","autre"))</f>
        <v>autre</v>
      </c>
      <c r="F146" s="27" t="n">
        <v>0</v>
      </c>
      <c r="G146" s="28"/>
      <c r="H146" s="29"/>
      <c r="I146" s="27"/>
      <c r="J146" s="28"/>
      <c r="K146" s="30"/>
      <c r="L146" s="30"/>
      <c r="M146" s="31" t="str">
        <f aca="false">IF(AND(ISNUMBER(G146),ISNUMBER(H146),ISNUMBER(I146),ISNUMBER(F146)),IF(AND(G146&gt;0,H146&gt;0,I146&gt;0,F146&gt;I146),G146*H146/I146*LN(F146/(F146-I146)),"N/A"),"N/A")</f>
        <v>N/A</v>
      </c>
      <c r="N146" s="0" t="str">
        <f aca="false">IF(ISNUMBER(M146),IF(AND(H146&gt;=$B$7,G146/(F146*$B$9)&lt;$B$8),"croisière","fusée"),"N/A")</f>
        <v>N/A</v>
      </c>
      <c r="O146" s="32" t="str">
        <f aca="false">IF(N146="fusée",MIN(M146,IF(C146="Jeu de base",$B$4,$B$5)),IF(N146="croisière",$B$6*SQRT(G146),"N/A"))</f>
        <v>N/A</v>
      </c>
      <c r="P146" s="32" t="str">
        <f aca="false">IF(E146="propulsé",IF(ISNUMBER(O146),IF(AND(ISNUMBER(K146),ISNUMBER(L146)),MEDIAN(K146,L146,O146),IF(ISNUMBER(L146),L146,IF(ISNUMBER(K146),K146,O146))),IF(ISNUMBER(K146),K146,"N/A")),IF(E146="arme à feu",IF(ISNUMBER(J146),IF(ISNUMBER(K146),MIN(J146,K146),J146),"N/A"),"N/A"))</f>
        <v>N/A</v>
      </c>
      <c r="Q146" s="0" t="str">
        <f aca="false">IF(NOT(ISNUMBER(P146)),"aucune vitesse définie",IF(E146="arme à feu",IF(AND(ISNUMBER(K146),ISNUMBER(J146),K146&lt;J146),"vitesse max fixée (inférieure à la bouche)","vitesse initiale (bouche)"),IF(AND(ISNUMBER(K146),ISNUMBER(L146)),"médiane fichier / wiki / calcul",IF(ISNUMBER(L146),"wiki Delta-V",IF(ISNUMBER(K146),"vitesse fixée du fichier","calcul ("&amp;N146&amp;IF(AND(N146="fusée",M146&gt;O146),", plafonné","")&amp;")")))))</f>
        <v>aucune vitesse définie</v>
      </c>
      <c r="R146" s="32" t="str">
        <f aca="false">IF(ISNUMBER(P146),IF(E146="arme à feu",IF($B$10=1,P146,"N/A"),P146),"N/A")</f>
        <v>N/A</v>
      </c>
      <c r="S146" s="33" t="str">
        <f aca="false">IF(ISNUMBER(R146),ROUND(1+9*(SUMPRODUCT(ISNUMBER($R$21:$R$153)*($R$21:$R$153&lt;=R146))-1)/(COUNT($R$21:$R$153)-1),1),"N/A")</f>
        <v>N/A</v>
      </c>
      <c r="T146" s="34"/>
    </row>
    <row r="147" customFormat="false" ht="15" hidden="false" customHeight="false" outlineLevel="0" collapsed="false">
      <c r="A147" s="0" t="str">
        <f aca="false">B147&amp;"|"&amp;C147</f>
        <v>ECS-32 Countermeasure Dispenser|Aryx Weaponry Pack</v>
      </c>
      <c r="B147" s="0" t="s">
        <v>214</v>
      </c>
      <c r="C147" s="0" t="s">
        <v>191</v>
      </c>
      <c r="D147" s="0" t="s">
        <v>213</v>
      </c>
      <c r="E147" s="0" t="str">
        <f aca="false">IF(ISNUMBER(G147),"propulsé",IF(D147="Canon / mitrailleuse / lance-grenade","arme à feu","autre"))</f>
        <v>autre</v>
      </c>
      <c r="F147" s="27" t="n">
        <v>0</v>
      </c>
      <c r="G147" s="28"/>
      <c r="H147" s="29"/>
      <c r="I147" s="27"/>
      <c r="J147" s="28"/>
      <c r="K147" s="30"/>
      <c r="L147" s="30"/>
      <c r="M147" s="31" t="str">
        <f aca="false">IF(AND(ISNUMBER(G147),ISNUMBER(H147),ISNUMBER(I147),ISNUMBER(F147)),IF(AND(G147&gt;0,H147&gt;0,I147&gt;0,F147&gt;I147),G147*H147/I147*LN(F147/(F147-I147)),"N/A"),"N/A")</f>
        <v>N/A</v>
      </c>
      <c r="N147" s="0" t="str">
        <f aca="false">IF(ISNUMBER(M147),IF(AND(H147&gt;=$B$7,G147/(F147*$B$9)&lt;$B$8),"croisière","fusée"),"N/A")</f>
        <v>N/A</v>
      </c>
      <c r="O147" s="32" t="str">
        <f aca="false">IF(N147="fusée",MIN(M147,IF(C147="Jeu de base",$B$4,$B$5)),IF(N147="croisière",$B$6*SQRT(G147),"N/A"))</f>
        <v>N/A</v>
      </c>
      <c r="P147" s="32" t="str">
        <f aca="false">IF(E147="propulsé",IF(ISNUMBER(O147),IF(AND(ISNUMBER(K147),ISNUMBER(L147)),MEDIAN(K147,L147,O147),IF(ISNUMBER(L147),L147,IF(ISNUMBER(K147),K147,O147))),IF(ISNUMBER(K147),K147,"N/A")),IF(E147="arme à feu",IF(ISNUMBER(J147),IF(ISNUMBER(K147),MIN(J147,K147),J147),"N/A"),"N/A"))</f>
        <v>N/A</v>
      </c>
      <c r="Q147" s="0" t="str">
        <f aca="false">IF(NOT(ISNUMBER(P147)),"aucune vitesse définie",IF(E147="arme à feu",IF(AND(ISNUMBER(K147),ISNUMBER(J147),K147&lt;J147),"vitesse max fixée (inférieure à la bouche)","vitesse initiale (bouche)"),IF(AND(ISNUMBER(K147),ISNUMBER(L147)),"médiane fichier / wiki / calcul",IF(ISNUMBER(L147),"wiki Delta-V",IF(ISNUMBER(K147),"vitesse fixée du fichier","calcul ("&amp;N147&amp;IF(AND(N147="fusée",M147&gt;O147),", plafonné","")&amp;")")))))</f>
        <v>aucune vitesse définie</v>
      </c>
      <c r="R147" s="32" t="str">
        <f aca="false">IF(ISNUMBER(P147),IF(E147="arme à feu",IF($B$10=1,P147,"N/A"),P147),"N/A")</f>
        <v>N/A</v>
      </c>
      <c r="S147" s="33" t="str">
        <f aca="false">IF(ISNUMBER(R147),ROUND(1+9*(SUMPRODUCT(ISNUMBER($R$21:$R$153)*($R$21:$R$153&lt;=R147))-1)/(COUNT($R$21:$R$153)-1),1),"N/A")</f>
        <v>N/A</v>
      </c>
      <c r="T147" s="34"/>
    </row>
    <row r="148" customFormat="false" ht="15" hidden="false" customHeight="false" outlineLevel="0" collapsed="false">
      <c r="A148" s="0" t="str">
        <f aca="false">B148&amp;"|"&amp;C148</f>
        <v>AGR-37 Jester|Aryx Weaponry Pack</v>
      </c>
      <c r="B148" s="0" t="s">
        <v>215</v>
      </c>
      <c r="C148" s="0" t="s">
        <v>191</v>
      </c>
      <c r="D148" s="0" t="s">
        <v>147</v>
      </c>
      <c r="E148" s="0" t="str">
        <f aca="false">IF(ISNUMBER(G148),"propulsé",IF(D148="Canon / mitrailleuse / lance-grenade","arme à feu","autre"))</f>
        <v>propulsé</v>
      </c>
      <c r="F148" s="27" t="n">
        <v>85</v>
      </c>
      <c r="G148" s="28" t="n">
        <v>28000</v>
      </c>
      <c r="H148" s="29" t="n">
        <v>6</v>
      </c>
      <c r="I148" s="27" t="n">
        <v>5</v>
      </c>
      <c r="J148" s="28"/>
      <c r="K148" s="30" t="n">
        <v>877</v>
      </c>
      <c r="L148" s="30"/>
      <c r="M148" s="31" t="n">
        <f aca="false">IF(AND(ISNUMBER(G148),ISNUMBER(H148),ISNUMBER(I148),ISNUMBER(F148)),IF(AND(G148&gt;0,H148&gt;0,I148&gt;0,F148&gt;I148),G148*H148/I148*LN(F148/(F148-I148)),"N/A"),"N/A")</f>
        <v>2036.98729303221</v>
      </c>
      <c r="N148" s="0" t="str">
        <f aca="false">IF(ISNUMBER(M148),IF(AND(H148&gt;=$B$7,G148/(F148*$B$9)&lt;$B$8),"croisière","fusée"),"N/A")</f>
        <v>fusée</v>
      </c>
      <c r="O148" s="32" t="n">
        <f aca="false">IF(N148="fusée",MIN(M148,IF(C148="Jeu de base",$B$4,$B$5)),IF(N148="croisière",$B$6*SQRT(G148),"N/A"))</f>
        <v>2000</v>
      </c>
      <c r="P148" s="32" t="n">
        <f aca="false">IF(E148="propulsé",IF(ISNUMBER(O148),IF(AND(ISNUMBER(K148),ISNUMBER(L148)),MEDIAN(K148,L148,O148),IF(ISNUMBER(L148),L148,IF(ISNUMBER(K148),K148,O148))),IF(ISNUMBER(K148),K148,"N/A")),IF(E148="arme à feu",IF(ISNUMBER(J148),IF(ISNUMBER(K148),MIN(J148,K148),J148),"N/A"),"N/A"))</f>
        <v>877</v>
      </c>
      <c r="Q148" s="0" t="str">
        <f aca="false">IF(NOT(ISNUMBER(P148)),"aucune vitesse définie",IF(E148="arme à feu",IF(AND(ISNUMBER(K148),ISNUMBER(J148),K148&lt;J148),"vitesse max fixée (inférieure à la bouche)","vitesse initiale (bouche)"),IF(AND(ISNUMBER(K148),ISNUMBER(L148)),"médiane fichier / wiki / calcul",IF(ISNUMBER(L148),"wiki Delta-V",IF(ISNUMBER(K148),"vitesse fixée du fichier","calcul ("&amp;N148&amp;IF(AND(N148="fusée",M148&gt;O148),", plafonné","")&amp;")")))))</f>
        <v>vitesse fixée du fichier</v>
      </c>
      <c r="R148" s="32" t="n">
        <f aca="false">IF(ISNUMBER(P148),IF(E148="arme à feu",IF($B$10=1,P148,"N/A"),P148),"N/A")</f>
        <v>877</v>
      </c>
      <c r="S148" s="33" t="n">
        <f aca="false">IF(ISNUMBER(R148),ROUND(1+9*(SUMPRODUCT(ISNUMBER($R$21:$R$153)*($R$21:$R$153&lt;=R148))-1)/(COUNT($R$21:$R$153)-1),1),"N/A")</f>
        <v>4.7</v>
      </c>
      <c r="T148" s="34" t="n">
        <v>6.6</v>
      </c>
    </row>
    <row r="149" customFormat="false" ht="15" hidden="false" customHeight="false" outlineLevel="0" collapsed="false">
      <c r="A149" s="0" t="str">
        <f aca="false">B149&amp;"|"&amp;C149</f>
        <v>1200kg Drop Tank|Aryx Weaponry Pack</v>
      </c>
      <c r="B149" s="0" t="s">
        <v>216</v>
      </c>
      <c r="C149" s="0" t="s">
        <v>191</v>
      </c>
      <c r="D149" s="0" t="s">
        <v>217</v>
      </c>
      <c r="E149" s="0" t="str">
        <f aca="false">IF(ISNUMBER(G149),"propulsé",IF(D149="Canon / mitrailleuse / lance-grenade","arme à feu","autre"))</f>
        <v>autre</v>
      </c>
      <c r="F149" s="27" t="n">
        <v>15</v>
      </c>
      <c r="G149" s="28"/>
      <c r="H149" s="29"/>
      <c r="I149" s="27"/>
      <c r="J149" s="28"/>
      <c r="K149" s="30"/>
      <c r="L149" s="30"/>
      <c r="M149" s="31" t="str">
        <f aca="false">IF(AND(ISNUMBER(G149),ISNUMBER(H149),ISNUMBER(I149),ISNUMBER(F149)),IF(AND(G149&gt;0,H149&gt;0,I149&gt;0,F149&gt;I149),G149*H149/I149*LN(F149/(F149-I149)),"N/A"),"N/A")</f>
        <v>N/A</v>
      </c>
      <c r="N149" s="0" t="str">
        <f aca="false">IF(ISNUMBER(M149),IF(AND(H149&gt;=$B$7,G149/(F149*$B$9)&lt;$B$8),"croisière","fusée"),"N/A")</f>
        <v>N/A</v>
      </c>
      <c r="O149" s="32" t="str">
        <f aca="false">IF(N149="fusée",MIN(M149,IF(C149="Jeu de base",$B$4,$B$5)),IF(N149="croisière",$B$6*SQRT(G149),"N/A"))</f>
        <v>N/A</v>
      </c>
      <c r="P149" s="32" t="str">
        <f aca="false">IF(E149="propulsé",IF(ISNUMBER(O149),IF(AND(ISNUMBER(K149),ISNUMBER(L149)),MEDIAN(K149,L149,O149),IF(ISNUMBER(L149),L149,IF(ISNUMBER(K149),K149,O149))),IF(ISNUMBER(K149),K149,"N/A")),IF(E149="arme à feu",IF(ISNUMBER(J149),IF(ISNUMBER(K149),MIN(J149,K149),J149),"N/A"),"N/A"))</f>
        <v>N/A</v>
      </c>
      <c r="Q149" s="0" t="str">
        <f aca="false">IF(NOT(ISNUMBER(P149)),"aucune vitesse définie",IF(E149="arme à feu",IF(AND(ISNUMBER(K149),ISNUMBER(J149),K149&lt;J149),"vitesse max fixée (inférieure à la bouche)","vitesse initiale (bouche)"),IF(AND(ISNUMBER(K149),ISNUMBER(L149)),"médiane fichier / wiki / calcul",IF(ISNUMBER(L149),"wiki Delta-V",IF(ISNUMBER(K149),"vitesse fixée du fichier","calcul ("&amp;N149&amp;IF(AND(N149="fusée",M149&gt;O149),", plafonné","")&amp;")")))))</f>
        <v>aucune vitesse définie</v>
      </c>
      <c r="R149" s="32" t="str">
        <f aca="false">IF(ISNUMBER(P149),IF(E149="arme à feu",IF($B$10=1,P149,"N/A"),P149),"N/A")</f>
        <v>N/A</v>
      </c>
      <c r="S149" s="33" t="str">
        <f aca="false">IF(ISNUMBER(R149),ROUND(1+9*(SUMPRODUCT(ISNUMBER($R$21:$R$153)*($R$21:$R$153&lt;=R149))-1)/(COUNT($R$21:$R$153)-1),1),"N/A")</f>
        <v>N/A</v>
      </c>
      <c r="T149" s="34"/>
    </row>
    <row r="150" customFormat="false" ht="15" hidden="false" customHeight="false" outlineLevel="0" collapsed="false">
      <c r="A150" s="0" t="str">
        <f aca="false">B150&amp;"|"&amp;C150</f>
        <v>2000kg Drop Tank|Aryx Weaponry Pack</v>
      </c>
      <c r="B150" s="0" t="s">
        <v>218</v>
      </c>
      <c r="C150" s="0" t="s">
        <v>191</v>
      </c>
      <c r="D150" s="0" t="s">
        <v>217</v>
      </c>
      <c r="E150" s="0" t="str">
        <f aca="false">IF(ISNUMBER(G150),"propulsé",IF(D150="Canon / mitrailleuse / lance-grenade","arme à feu","autre"))</f>
        <v>autre</v>
      </c>
      <c r="F150" s="27" t="n">
        <v>15</v>
      </c>
      <c r="G150" s="28"/>
      <c r="H150" s="29"/>
      <c r="I150" s="27"/>
      <c r="J150" s="28"/>
      <c r="K150" s="30"/>
      <c r="L150" s="30"/>
      <c r="M150" s="31" t="str">
        <f aca="false">IF(AND(ISNUMBER(G150),ISNUMBER(H150),ISNUMBER(I150),ISNUMBER(F150)),IF(AND(G150&gt;0,H150&gt;0,I150&gt;0,F150&gt;I150),G150*H150/I150*LN(F150/(F150-I150)),"N/A"),"N/A")</f>
        <v>N/A</v>
      </c>
      <c r="N150" s="0" t="str">
        <f aca="false">IF(ISNUMBER(M150),IF(AND(H150&gt;=$B$7,G150/(F150*$B$9)&lt;$B$8),"croisière","fusée"),"N/A")</f>
        <v>N/A</v>
      </c>
      <c r="O150" s="32" t="str">
        <f aca="false">IF(N150="fusée",MIN(M150,IF(C150="Jeu de base",$B$4,$B$5)),IF(N150="croisière",$B$6*SQRT(G150),"N/A"))</f>
        <v>N/A</v>
      </c>
      <c r="P150" s="32" t="str">
        <f aca="false">IF(E150="propulsé",IF(ISNUMBER(O150),IF(AND(ISNUMBER(K150),ISNUMBER(L150)),MEDIAN(K150,L150,O150),IF(ISNUMBER(L150),L150,IF(ISNUMBER(K150),K150,O150))),IF(ISNUMBER(K150),K150,"N/A")),IF(E150="arme à feu",IF(ISNUMBER(J150),IF(ISNUMBER(K150),MIN(J150,K150),J150),"N/A"),"N/A"))</f>
        <v>N/A</v>
      </c>
      <c r="Q150" s="0" t="str">
        <f aca="false">IF(NOT(ISNUMBER(P150)),"aucune vitesse définie",IF(E150="arme à feu",IF(AND(ISNUMBER(K150),ISNUMBER(J150),K150&lt;J150),"vitesse max fixée (inférieure à la bouche)","vitesse initiale (bouche)"),IF(AND(ISNUMBER(K150),ISNUMBER(L150)),"médiane fichier / wiki / calcul",IF(ISNUMBER(L150),"wiki Delta-V",IF(ISNUMBER(K150),"vitesse fixée du fichier","calcul ("&amp;N150&amp;IF(AND(N150="fusée",M150&gt;O150),", plafonné","")&amp;")")))))</f>
        <v>aucune vitesse définie</v>
      </c>
      <c r="R150" s="32" t="str">
        <f aca="false">IF(ISNUMBER(P150),IF(E150="arme à feu",IF($B$10=1,P150,"N/A"),P150),"N/A")</f>
        <v>N/A</v>
      </c>
      <c r="S150" s="33" t="str">
        <f aca="false">IF(ISNUMBER(R150),ROUND(1+9*(SUMPRODUCT(ISNUMBER($R$21:$R$153)*($R$21:$R$153&lt;=R150))-1)/(COUNT($R$21:$R$153)-1),1),"N/A")</f>
        <v>N/A</v>
      </c>
      <c r="T150" s="34"/>
    </row>
    <row r="151" customFormat="false" ht="15" hidden="false" customHeight="false" outlineLevel="0" collapsed="false">
      <c r="A151" s="0" t="str">
        <f aca="false">B151&amp;"|"&amp;C151</f>
        <v>450kg Drop Tank|Aryx Weaponry Pack</v>
      </c>
      <c r="B151" s="0" t="s">
        <v>219</v>
      </c>
      <c r="C151" s="0" t="s">
        <v>191</v>
      </c>
      <c r="D151" s="0" t="s">
        <v>217</v>
      </c>
      <c r="E151" s="0" t="str">
        <f aca="false">IF(ISNUMBER(G151),"propulsé",IF(D151="Canon / mitrailleuse / lance-grenade","arme à feu","autre"))</f>
        <v>autre</v>
      </c>
      <c r="F151" s="27" t="n">
        <v>15</v>
      </c>
      <c r="G151" s="28"/>
      <c r="H151" s="29"/>
      <c r="I151" s="27"/>
      <c r="J151" s="28"/>
      <c r="K151" s="30"/>
      <c r="L151" s="30"/>
      <c r="M151" s="31" t="str">
        <f aca="false">IF(AND(ISNUMBER(G151),ISNUMBER(H151),ISNUMBER(I151),ISNUMBER(F151)),IF(AND(G151&gt;0,H151&gt;0,I151&gt;0,F151&gt;I151),G151*H151/I151*LN(F151/(F151-I151)),"N/A"),"N/A")</f>
        <v>N/A</v>
      </c>
      <c r="N151" s="0" t="str">
        <f aca="false">IF(ISNUMBER(M151),IF(AND(H151&gt;=$B$7,G151/(F151*$B$9)&lt;$B$8),"croisière","fusée"),"N/A")</f>
        <v>N/A</v>
      </c>
      <c r="O151" s="32" t="str">
        <f aca="false">IF(N151="fusée",MIN(M151,IF(C151="Jeu de base",$B$4,$B$5)),IF(N151="croisière",$B$6*SQRT(G151),"N/A"))</f>
        <v>N/A</v>
      </c>
      <c r="P151" s="32" t="str">
        <f aca="false">IF(E151="propulsé",IF(ISNUMBER(O151),IF(AND(ISNUMBER(K151),ISNUMBER(L151)),MEDIAN(K151,L151,O151),IF(ISNUMBER(L151),L151,IF(ISNUMBER(K151),K151,O151))),IF(ISNUMBER(K151),K151,"N/A")),IF(E151="arme à feu",IF(ISNUMBER(J151),IF(ISNUMBER(K151),MIN(J151,K151),J151),"N/A"),"N/A"))</f>
        <v>N/A</v>
      </c>
      <c r="Q151" s="0" t="str">
        <f aca="false">IF(NOT(ISNUMBER(P151)),"aucune vitesse définie",IF(E151="arme à feu",IF(AND(ISNUMBER(K151),ISNUMBER(J151),K151&lt;J151),"vitesse max fixée (inférieure à la bouche)","vitesse initiale (bouche)"),IF(AND(ISNUMBER(K151),ISNUMBER(L151)),"médiane fichier / wiki / calcul",IF(ISNUMBER(L151),"wiki Delta-V",IF(ISNUMBER(K151),"vitesse fixée du fichier","calcul ("&amp;N151&amp;IF(AND(N151="fusée",M151&gt;O151),", plafonné","")&amp;")")))))</f>
        <v>aucune vitesse définie</v>
      </c>
      <c r="R151" s="32" t="str">
        <f aca="false">IF(ISNUMBER(P151),IF(E151="arme à feu",IF($B$10=1,P151,"N/A"),P151),"N/A")</f>
        <v>N/A</v>
      </c>
      <c r="S151" s="33" t="str">
        <f aca="false">IF(ISNUMBER(R151),ROUND(1+9*(SUMPRODUCT(ISNUMBER($R$21:$R$153)*($R$21:$R$153&lt;=R151))-1)/(COUNT($R$21:$R$153)-1),1),"N/A")</f>
        <v>N/A</v>
      </c>
      <c r="T151" s="34"/>
    </row>
    <row r="152" customFormat="false" ht="15" hidden="false" customHeight="false" outlineLevel="0" collapsed="false">
      <c r="A152" s="0" t="str">
        <f aca="false">B152&amp;"|"&amp;C152</f>
        <v>20mm Rotary Cannon|FS-3 Ternion</v>
      </c>
      <c r="B152" s="0" t="s">
        <v>220</v>
      </c>
      <c r="C152" s="0" t="s">
        <v>221</v>
      </c>
      <c r="D152" s="0" t="s">
        <v>64</v>
      </c>
      <c r="E152" s="0" t="str">
        <f aca="false">IF(ISNUMBER(G152),"propulsé",IF(D152="Canon / mitrailleuse / lance-grenade","arme à feu","autre"))</f>
        <v>arme à feu</v>
      </c>
      <c r="F152" s="27" t="n">
        <v>0.27</v>
      </c>
      <c r="G152" s="28"/>
      <c r="H152" s="29"/>
      <c r="I152" s="27"/>
      <c r="J152" s="28" t="n">
        <v>1100</v>
      </c>
      <c r="K152" s="30"/>
      <c r="L152" s="30"/>
      <c r="M152" s="31" t="str">
        <f aca="false">IF(AND(ISNUMBER(G152),ISNUMBER(H152),ISNUMBER(I152),ISNUMBER(F152)),IF(AND(G152&gt;0,H152&gt;0,I152&gt;0,F152&gt;I152),G152*H152/I152*LN(F152/(F152-I152)),"N/A"),"N/A")</f>
        <v>N/A</v>
      </c>
      <c r="N152" s="0" t="str">
        <f aca="false">IF(ISNUMBER(M152),IF(AND(H152&gt;=$B$7,G152/(F152*$B$9)&lt;$B$8),"croisière","fusée"),"N/A")</f>
        <v>N/A</v>
      </c>
      <c r="O152" s="32" t="str">
        <f aca="false">IF(N152="fusée",MIN(M152,IF(C152="Jeu de base",$B$4,$B$5)),IF(N152="croisière",$B$6*SQRT(G152),"N/A"))</f>
        <v>N/A</v>
      </c>
      <c r="P152" s="32" t="n">
        <f aca="false">IF(E152="propulsé",IF(ISNUMBER(O152),IF(AND(ISNUMBER(K152),ISNUMBER(L152)),MEDIAN(K152,L152,O152),IF(ISNUMBER(L152),L152,IF(ISNUMBER(K152),K152,O152))),IF(ISNUMBER(K152),K152,"N/A")),IF(E152="arme à feu",IF(ISNUMBER(J152),IF(ISNUMBER(K152),MIN(J152,K152),J152),"N/A"),"N/A"))</f>
        <v>1100</v>
      </c>
      <c r="Q152" s="0" t="str">
        <f aca="false">IF(NOT(ISNUMBER(P152)),"aucune vitesse définie",IF(E152="arme à feu",IF(AND(ISNUMBER(K152),ISNUMBER(J152),K152&lt;J152),"vitesse max fixée (inférieure à la bouche)","vitesse initiale (bouche)"),IF(AND(ISNUMBER(K152),ISNUMBER(L152)),"médiane fichier / wiki / calcul",IF(ISNUMBER(L152),"wiki Delta-V",IF(ISNUMBER(K152),"vitesse fixée du fichier","calcul ("&amp;N152&amp;IF(AND(N152="fusée",M152&gt;O152),", plafonné","")&amp;")")))))</f>
        <v>vitesse initiale (bouche)</v>
      </c>
      <c r="R152" s="32" t="n">
        <f aca="false">IF(ISNUMBER(P152),IF(E152="arme à feu",IF($B$10=1,P152,"N/A"),P152),"N/A")</f>
        <v>1100</v>
      </c>
      <c r="S152" s="33" t="n">
        <f aca="false">IF(ISNUMBER(R152),ROUND(1+9*(SUMPRODUCT(ISNUMBER($R$21:$R$153)*($R$21:$R$153&lt;=R152))-1)/(COUNT($R$21:$R$153)-1),1),"N/A")</f>
        <v>7.1</v>
      </c>
      <c r="T152" s="34"/>
    </row>
    <row r="153" customFormat="false" ht="15" hidden="false" customHeight="false" outlineLevel="0" collapsed="false">
      <c r="A153" s="0" t="str">
        <f aca="false">B153&amp;"|"&amp;C153</f>
        <v>5MW Laser|FS-3 Ternion</v>
      </c>
      <c r="B153" s="0" t="s">
        <v>222</v>
      </c>
      <c r="C153" s="0" t="s">
        <v>221</v>
      </c>
      <c r="D153" s="0" t="s">
        <v>151</v>
      </c>
      <c r="E153" s="0" t="str">
        <f aca="false">IF(ISNUMBER(G153),"propulsé",IF(D153="Canon / mitrailleuse / lance-grenade","arme à feu","autre"))</f>
        <v>autre</v>
      </c>
      <c r="F153" s="27" t="n">
        <v>0</v>
      </c>
      <c r="G153" s="28"/>
      <c r="H153" s="29"/>
      <c r="I153" s="27"/>
      <c r="J153" s="28" t="n">
        <v>300000000</v>
      </c>
      <c r="K153" s="30"/>
      <c r="L153" s="30"/>
      <c r="M153" s="31" t="str">
        <f aca="false">IF(AND(ISNUMBER(G153),ISNUMBER(H153),ISNUMBER(I153),ISNUMBER(F153)),IF(AND(G153&gt;0,H153&gt;0,I153&gt;0,F153&gt;I153),G153*H153/I153*LN(F153/(F153-I153)),"N/A"),"N/A")</f>
        <v>N/A</v>
      </c>
      <c r="N153" s="0" t="str">
        <f aca="false">IF(ISNUMBER(M153),IF(AND(H153&gt;=$B$7,G153/(F153*$B$9)&lt;$B$8),"croisière","fusée"),"N/A")</f>
        <v>N/A</v>
      </c>
      <c r="O153" s="32" t="str">
        <f aca="false">IF(N153="fusée",MIN(M153,IF(C153="Jeu de base",$B$4,$B$5)),IF(N153="croisière",$B$6*SQRT(G153),"N/A"))</f>
        <v>N/A</v>
      </c>
      <c r="P153" s="32" t="str">
        <f aca="false">IF(E153="propulsé",IF(ISNUMBER(O153),IF(AND(ISNUMBER(K153),ISNUMBER(L153)),MEDIAN(K153,L153,O153),IF(ISNUMBER(L153),L153,IF(ISNUMBER(K153),K153,O153))),IF(ISNUMBER(K153),K153,"N/A")),IF(E153="arme à feu",IF(ISNUMBER(J153),IF(ISNUMBER(K153),MIN(J153,K153),J153),"N/A"),"N/A"))</f>
        <v>N/A</v>
      </c>
      <c r="Q153" s="0" t="str">
        <f aca="false">IF(NOT(ISNUMBER(P153)),"aucune vitesse définie",IF(E153="arme à feu",IF(AND(ISNUMBER(K153),ISNUMBER(J153),K153&lt;J153),"vitesse max fixée (inférieure à la bouche)","vitesse initiale (bouche)"),IF(AND(ISNUMBER(K153),ISNUMBER(L153)),"médiane fichier / wiki / calcul",IF(ISNUMBER(L153),"wiki Delta-V",IF(ISNUMBER(K153),"vitesse fixée du fichier","calcul ("&amp;N153&amp;IF(AND(N153="fusée",M153&gt;O153),", plafonné","")&amp;")")))))</f>
        <v>aucune vitesse définie</v>
      </c>
      <c r="R153" s="32" t="str">
        <f aca="false">IF(ISNUMBER(P153),IF(E153="arme à feu",IF($B$10=1,P153,"N/A"),P153),"N/A")</f>
        <v>N/A</v>
      </c>
      <c r="S153" s="33" t="str">
        <f aca="false">IF(ISNUMBER(R153),ROUND(1+9*(SUMPRODUCT(ISNUMBER($R$21:$R$153)*($R$21:$R$153&lt;=R153))-1)/(COUNT($R$21:$R$153)-1),1),"N/A")</f>
        <v>N/A</v>
      </c>
      <c r="T153" s="34"/>
    </row>
  </sheetData>
  <autoFilter ref="A20:T153"/>
  <mergeCells count="6">
    <mergeCell ref="A12:L12"/>
    <mergeCell ref="A13:L13"/>
    <mergeCell ref="A14:L14"/>
    <mergeCell ref="A15:L15"/>
    <mergeCell ref="A16:L16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2026-10-09T05:07:49Z</dcterms:created>
  <dc:creator>openpyxl</dc:creator>
  <dc:description/>
  <dc:language>en-US</dc:language>
  <cp:lastModifiedBy/>
  <dcterms:modified xsi:type="dcterms:W3CDTF">2026-10-09T12:00:05Z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