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Lisez-moi" sheetId="1" state="visible" r:id="rId3"/>
    <sheet name="Armes" sheetId="2" state="visible" r:id="rId4"/>
    <sheet name="Avions" sheetId="3" state="visible" r:id="rId5"/>
    <sheet name="Cargaison et véhicules" sheetId="4" state="visible" r:id="rId6"/>
  </sheets>
  <definedNames>
    <definedName function="false" hidden="true" localSheetId="1" name="_xlnm._FilterDatabase" vbProcedure="false">Armes!$A$1:$AJ$140</definedName>
    <definedName function="false" hidden="true" localSheetId="2" name="_xlnm._FilterDatabase" vbProcedure="false">Avions!$A$1:$AJ$26</definedName>
    <definedName function="false" hidden="true" localSheetId="3" name="_xlnm._FilterDatabase" vbProcedure="false">'Cargaison et véhicules'!$A$1:$G$39</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Q1" authorId="0">
      <text>
        <r>
          <rPr>
            <sz val="10"/>
            <rFont val="Arial"/>
            <family val="2"/>
          </rPr>
          <t xml:space="preserve">Vitesse théorique = (Poussée / Masse) × Durée de poussée.
Poussée = col. N (valeur jeu), Masse = col. J (kg), Durée de poussée = col. O (s).
N/A si l'une des trois valeurs est vide ou nulle.
Valeur indicative (unités du jeu non documentées, traînée ignorée), à n'utiliser que pour comparer les armes entre elles.</t>
        </r>
      </text>
    </comment>
    <comment ref="R1" authorId="0">
      <text>
        <r>
          <rPr>
            <sz val="10"/>
            <rFont val="Arial"/>
            <family val="2"/>
          </rPr>
          <t xml:space="preserve">Note de 1 à 10 selon le rang centile de la vitesse théorique parmi les armes calculables : 1 = la plus lente, 10 = la plus rapide.
Formule : 1 + 9 × PERCENTRANK. N/A si la vitesse théorique est N/A.</t>
        </r>
      </text>
    </comment>
    <comment ref="AF1" authorId="0">
      <text>
        <r>
          <rPr>
            <sz val="10"/>
            <rFont val="Arial"/>
            <family val="2"/>
          </rPr>
          <t xml:space="preserve">Charge TNT / Coût = Charge explosive (col. G, kg éq. TNT) / Coût (col. AE, M$).
N/A si la charge est vide ou si le coût est vide ou nul.
Une charge de 0 donne 0.
Résultat en kg éq. TNT par million de dollars du jeu.</t>
        </r>
      </text>
    </comment>
  </commentList>
</comments>
</file>

<file path=xl/sharedStrings.xml><?xml version="1.0" encoding="utf-8"?>
<sst xmlns="http://schemas.openxmlformats.org/spreadsheetml/2006/main" count="1730" uniqueCount="704">
  <si>
    <t xml:space="preserve">Statistiques des armes d'emport — Nuclear Option (jeu de base + mods du modpack)</t>
  </si>
  <si>
    <t xml:space="preserve">Origine des données</t>
  </si>
  <si>
    <t xml:space="preserve">Jeu de base : lues directement dans les fichiers du jeu (resources.assets, version 0.34, Unity 2022.3.62) : fiches d'arme (WeaponInfo), définitions de missile, moteurs, chercheurs, canons.</t>
  </si>
  <si>
    <t xml:space="preserve">Mods : lues dans les ressources intégrées des mods installés (Aryx Weaponry Pack 1.1.1, Aryx MC-260, NAVEX, OA-27, F-16M, RAH-72, FS-3 Ternion, et depuis le 3 octobre : Aryx F-99 Shrike, Aryx FS-41 Eclipse, Aryx MiG-15 ; puis, lors de la dernière mise à jour : KR-33 Agni, SARAAM1 (missile AAM-21 Glaive) et, dans le pack Aryx 1.1.1, les lignes CBO-400 et AEC-124 Offensive Jammer). Les mods F-22E, F-117A et HLT TBM ne contiennent aucune arme propre exploitable : le F-117A utilise les armes du jeu de base et du pack Aryx. NOCustomMaps / SwissAlps est une carte, sans arme ni avion.</t>
  </si>
  <si>
    <t xml:space="preserve">Recoupement : le wiki communautaire donne les mêmes valeurs pour l'AAM-29 Scythe (19 kg, 3,5 m × 0,4 m, 160 kg) et la PAB-250 (200 kg, 2,3 m × 0,3 m) ; seule la durée de poussée du Scythe diffère (8 s sur le wiki, 6 s dans les fichiers du jeu). Les fichiers du jeu priment.</t>
  </si>
  <si>
    <t xml:space="preserve">Limites à connaître</t>
  </si>
  <si>
    <t xml:space="preserve">Les unités ne sont pas documentées dans les fichiers : mètres, kilogrammes et mètres par seconde sont présumés ; la charge explosive est exprimée en kg d'équivalent TNT (confirmé par le wiki pour deux armes) ; la poussée est une valeur du jeu sans unité certaine.</t>
  </si>
  <si>
    <t xml:space="preserve">Aucune vitesse de pointe de missile n'est stockée : seule une « vitesse max. fixée » existe pour certaines armes. La vitesse réelle dépend de la poussée, de la durée de poussée, de la masse et de la traînée (non calculée ici).</t>
  </si>
  <si>
    <t xml:space="preserve">Le wiki donne un « Delta-V » et une « vitesse de rotation » : le Delta-V n'est pas reproductible à partir des fichiers (méthode inconnue) ; le facteur G max est repris tel quel.</t>
  </si>
  <si>
    <t xml:space="preserve">La compatibilité arme / appareil (quel avion emporte quoi, en quelle quantité) n'est toujours pas incluse. La feuille « Avions » donne seulement le nombre d'emplacements d'armes d'après le premier chargement type de l'appareil.</t>
  </si>
  <si>
    <t xml:space="preserve">Certaines fiches sont internes ou en doublon (nom « ??? », plusieurs canons du même calibre) : elles sont numérotées « variante n » ou signalées dans la colonne Notes.</t>
  </si>
  <si>
    <t xml:space="preserve">Le mod Aryx Weaponry Pack redéfinit l'ARAD-45 : deux lignes existent (jeu de base et mod) avec des valeurs différentes. Le mod KR-33 Agni redéfinit de la même façon la 25mm Autocannon du jeu de base, et sa « 30mm Autocannon » a des valeurs propres au KR-33 (autres canons 30 mm moddés : valeurs différentes). La « CBO-400 » du pack Aryx a les mêmes valeurs que celle du jeu de base et du F-99 Shrike (une ligne par source). Le missile « 3S-RMM » du KR-33 est un contenu événementiel : le prefab du jeu « AAM1 » (= MMR-S3) monté à l'envers, dont la physique est reprise de la ligne MMR-S3. L'« AAM-21 Glaive » (SARAAM1) est créé par code au chargement du jeu comme clone de l'AAM-29 Scythe : ses valeurs viennent des constantes de la DLL (version 1.1.3), le reste est hérité du Scythe.</t>
  </si>
  <si>
    <t xml:space="preserve">Feuille « Avions » (25 appareils : 14 du jeu de base, dont un OVNI événementiel nommé « ??? », et 11 de mods)</t>
  </si>
  <si>
    <t xml:space="preserve">Lue dans les fiches AircraftDefinition et AircraftParameters du jeu et des mods, plus les composants de chaque prefab (moteurs, réservoirs, radar, leurres). Rang requis, coût, masses, vitesses, facteur G et distances de décollage sont des valeurs brutes du jeu.</t>
  </si>
  <si>
    <t xml:space="preserve">Unités présumées : vitesse max. et décrochage en km/h (elles concordent avec la page « Aircraft » du wiki pour les appareils vérifiés), vitesses de décollage, d'atterrissage et de virage en m/s, masses et carburant en kg, poussée en newtons (affichée en kN) et puissance en watts (affichée en kW).</t>
  </si>
  <si>
    <t xml:space="preserve">Le wiki est incohérent avec lui-même pour 5 appareils : la page « Aircraft » donne les valeurs de la fiche du jeu (Cricket 510, Ibis 482, Vortex 1495, Medusa 1030, Darkreach 1005), les pages individuelles donnent d'autres valeurs (515, 512, 1445, 1050, 1325). La colonne reprend les valeurs des fichiers du jeu.</t>
  </si>
  <si>
    <t xml:space="preserve">La vitesse max. des mods est celle déclarée par leur auteur : F-16M 2500, F-22E 2414, FS-41 2670 et F-99 1910 km/h sont bien au-dessus de tous les appareils du jeu de base (maximum 1725, Alkyon AB-4).</t>
  </si>
  <si>
    <t xml:space="preserve">Colonnes vides : valeur nulle dans le jeu (ex. masse à vide du F-22E, décrochage des hélicoptères) ou non renseignée. Le nombre d'emplacements d'armes et de canons fixes n'est connu que pour les appareils qui ont un chargement type ou des canons dans leur prefab. Les rôles (0 à 1) sont les indices internes d'IA du jeu.</t>
  </si>
  <si>
    <t xml:space="preserve">Les colonnes vides signifient « sans objet » ou « non trouvé ». « illimité » = valeur maximale de 100 000 fixée par le jeu. Le coût est en millions de dollars du jeu (0,89 = 890 k$, confirmé par le wiki pour deux armes).</t>
  </si>
  <si>
    <t xml:space="preserve">Colonnes ajoutées à la feuille « Armes » (Q et R) : « Vitesse Théorique » = (Poussée / Masse) × Durée de poussée, à partir des colonnes Poussée (valeur jeu), Masse (kg) et Durée de poussée (s) ; « N/A » si l'une des trois valeurs est vide ou nulle. « Vitesse Indicielle (/10) » = 1 + 9 × rang centile de la vitesse théorique parmi les armes calculables (1 = la plus lente, 10 = la plus rapide). Indicatif seulement : unités du jeu non documentées, traînée non prise en compte. La colonne « Carburant moteur (kg) » n'est pas utilisée, car c'est une masse et non un temps. Colonne « Charge TNT / Coût » (après « Coût ») = Charge explosive (kg éq. TNT) / Coût (M$), soit des kg éq. TNT par M$ ; N/A si la charge est vide ou si le coût est vide ou nul ; une charge de 0 donne 0.</t>
  </si>
  <si>
    <t xml:space="preserve">Source</t>
  </si>
  <si>
    <t xml:space="preserve">Nom</t>
  </si>
  <si>
    <t xml:space="preserve">Type</t>
  </si>
  <si>
    <t xml:space="preserve">Guidage</t>
  </si>
  <si>
    <t xml:space="preserve">Méthode d'approche</t>
  </si>
  <si>
    <t xml:space="preserve">Détails du chercheur</t>
  </si>
  <si>
    <t xml:space="preserve">Charge explosive (kg éq. TNT)</t>
  </si>
  <si>
    <t xml:space="preserve">Pénétration (perforation)</t>
  </si>
  <si>
    <t xml:space="preserve">Blindage max. percé (palier)</t>
  </si>
  <si>
    <t xml:space="preserve">Masse (kg)</t>
  </si>
  <si>
    <t xml:space="preserve">Dimensions L × l × h (m)</t>
  </si>
  <si>
    <t xml:space="preserve">Vitesse initiale / bouche (m/s)</t>
  </si>
  <si>
    <t xml:space="preserve">Vitesse max. fixée (m/s)</t>
  </si>
  <si>
    <t xml:space="preserve">Poussée (valeur jeu)</t>
  </si>
  <si>
    <t xml:space="preserve">Durée de poussée (s)</t>
  </si>
  <si>
    <t xml:space="preserve">Carburant moteur (kg)</t>
  </si>
  <si>
    <t xml:space="preserve">Vitesse Théorique</t>
  </si>
  <si>
    <t xml:space="preserve">Vitesse Indicielle (/10)</t>
  </si>
  <si>
    <t xml:space="preserve">Portée min. (m)</t>
  </si>
  <si>
    <t xml:space="preserve">Portée max. (m)</t>
  </si>
  <si>
    <t xml:space="preserve">Alt. cible min (m)</t>
  </si>
  <si>
    <t xml:space="preserve">Alt. cible max (m)</t>
  </si>
  <si>
    <t xml:space="preserve">Vitesse cible max (m/s)</t>
  </si>
  <si>
    <t xml:space="preserve">Cadence (coups/min)</t>
  </si>
  <si>
    <t xml:space="preserve">Taille chargeur</t>
  </si>
  <si>
    <t xml:space="preserve">Nb chargeurs</t>
  </si>
  <si>
    <t xml:space="preserve">Dispersion (°)</t>
  </si>
  <si>
    <t xml:space="preserve">Munitions par lanceur</t>
  </si>
  <si>
    <t xml:space="preserve">Intervalle de tir (s)</t>
  </si>
  <si>
    <t xml:space="preserve">Facteur G max</t>
  </si>
  <si>
    <t xml:space="preserve">Coût (M$ ; ex. 0,89 = 890 k$)</t>
  </si>
  <si>
    <t xml:space="preserve">Charge TNT / Coût (kg éq. TNT par M$)</t>
  </si>
  <si>
    <t xml:space="preserve">Drapeaux du jeu</t>
  </si>
  <si>
    <t xml:space="preserve">Efficacité visée</t>
  </si>
  <si>
    <t xml:space="preserve">Description (jeu)</t>
  </si>
  <si>
    <t xml:space="preserve">Notes</t>
  </si>
  <si>
    <t xml:space="preserve">Jeu de base</t>
  </si>
  <si>
    <t xml:space="preserve">??? (variante 3)</t>
  </si>
  <si>
    <t xml:space="preserve">Autre / équipement</t>
  </si>
  <si>
    <t xml:space="preserve">Optique/TV (opérateur)</t>
  </si>
  <si>
    <t xml:space="preserve">loft 0.2; évasion zigzag 0.1</t>
  </si>
  <si>
    <t xml:space="preserve">rayon recherche 50.0; vitesse cible max 300.0</t>
  </si>
  <si>
    <t xml:space="preserve">1 × 1 × 1</t>
  </si>
  <si>
    <t xml:space="preserve">antiSurface,antiAir</t>
  </si>
  <si>
    <t xml:space="preserve">?????</t>
  </si>
  <si>
    <t xml:space="preserve">Entrée interne du jeu sans nom (arme cachée ou de test)</t>
  </si>
  <si>
    <t xml:space="preserve">GS25</t>
  </si>
  <si>
    <t xml:space="preserve">loft 0.5</t>
  </si>
  <si>
    <t xml:space="preserve">rayon recherche 50.0; vitesse cible max 30.0</t>
  </si>
  <si>
    <t xml:space="preserve">0.6 × 0.2 × 0.2</t>
  </si>
  <si>
    <t xml:space="preserve">illimité</t>
  </si>
  <si>
    <t xml:space="preserve">25kg optically guided submunition packing a shaped charge warhead</t>
  </si>
  <si>
    <t xml:space="preserve">??? (variante 1)</t>
  </si>
  <si>
    <t xml:space="preserve">Bombe</t>
  </si>
  <si>
    <t xml:space="preserve">Optique (bombe)</t>
  </si>
  <si>
    <t xml:space="preserve">rayon recherche 30.0; vitesse cible max 30.0</t>
  </si>
  <si>
    <t xml:space="preserve">bomb</t>
  </si>
  <si>
    <t xml:space="preserve">antiSurface</t>
  </si>
  <si>
    <t xml:space="preserve">CBO-400</t>
  </si>
  <si>
    <t xml:space="preserve">2.7 × 0.4 × 0.4</t>
  </si>
  <si>
    <t xml:space="preserve">This 400kg cluster bomb dispenses 8 GS25 submunitions capable of independently finding and targeting hostile units in the vicinity.</t>
  </si>
  <si>
    <t xml:space="preserve">Demolition Bomb</t>
  </si>
  <si>
    <t xml:space="preserve">8.2 × 1 × 1</t>
  </si>
  <si>
    <t xml:space="preserve">Heavy thermobaric guided bomb capable of devastating soft targets over a wide area. Best used against buildings or lightly defended groups of vehicles.</t>
  </si>
  <si>
    <t xml:space="preserve">Masse lue sur la définition du missile/bombe</t>
  </si>
  <si>
    <t xml:space="preserve">GPO-2P Auger</t>
  </si>
  <si>
    <t xml:space="preserve">4.6 × 0.5 × 0.5</t>
  </si>
  <si>
    <t xml:space="preserve">The Auger is a bunker busting gravity bomb with a precision guidance kit. It is capable of penetrating hardened structures before its large warhead detonates.</t>
  </si>
  <si>
    <t xml:space="preserve">GPO-500</t>
  </si>
  <si>
    <t xml:space="preserve">Optically guided 500kg bomb, ideal for attacking convoys and large buildings.</t>
  </si>
  <si>
    <t xml:space="preserve">PAB-125</t>
  </si>
  <si>
    <t xml:space="preserve">1.75 × 0.25 × 0.25</t>
  </si>
  <si>
    <t xml:space="preserve">A small optically guided 125kg bomb, ideal for destroying vehicles and small buildings in low level attacks.</t>
  </si>
  <si>
    <t xml:space="preserve">PAB-125HD</t>
  </si>
  <si>
    <t xml:space="preserve">A high drag 125kg bomb, ideal for destroying vehicles in extremely low attacks.</t>
  </si>
  <si>
    <t xml:space="preserve">PAB-250</t>
  </si>
  <si>
    <t xml:space="preserve">2.25 × 0.3 × 0.3</t>
  </si>
  <si>
    <t xml:space="preserve">Optically guided 250kg bomb capable of destroying heavily armored vehicles and small buildings.</t>
  </si>
  <si>
    <t xml:space="preserve">GPO-N (1.5kt)</t>
  </si>
  <si>
    <t xml:space="preserve">Bombe nucléaire</t>
  </si>
  <si>
    <t xml:space="preserve">2.7 × 0.5 × 0.5</t>
  </si>
  <si>
    <t xml:space="preserve">bomb,nuclear</t>
  </si>
  <si>
    <t xml:space="preserve">Guided thermonuclear bomb, set to tactical yield. Detonates after a minimum time delay of 8 seconds, and when below 150m (500ft) altitude. For laydown delivery, it will deploy a parachute to allow the bomb to survive impact with the ground when dropped below 300m (1000ft).</t>
  </si>
  <si>
    <t xml:space="preserve">GPO-N (250kt)</t>
  </si>
  <si>
    <t xml:space="preserve">bomb,nuclear,strategic</t>
  </si>
  <si>
    <t xml:space="preserve">Guided thermonuclear bomb, set to strategic yield. Detonates after a minimum time delay of 16 seconds, when below 500m (1650ft) altitude. Unless being lofted, level bombing should be carried out at a minimum of 1300m(4300ft).</t>
  </si>
  <si>
    <t xml:space="preserve">GBM-500LR</t>
  </si>
  <si>
    <t xml:space="preserve">Bombe planante guidée</t>
  </si>
  <si>
    <t xml:space="preserve">datalink; loft 0.05; attaque par le haut (proba 1.0, 1000-50000 m)</t>
  </si>
  <si>
    <t xml:space="preserve">rayon recherche 100.0; vitesse cible max 30.0</t>
  </si>
  <si>
    <t xml:space="preserve">4.1 × 0.4 × 0.4</t>
  </si>
  <si>
    <t xml:space="preserve">glideBomb</t>
  </si>
  <si>
    <t xml:space="preserve">Upon arrival within 2.5km (1.6mi) of the designated target, this 500kg glide bomb dispenses 12 GS25 submunitions capable of independently finding and targeting hostile units in the vicinity.</t>
  </si>
  <si>
    <t xml:space="preserve">PAB-250LR</t>
  </si>
  <si>
    <t xml:space="preserve">datalink; loft 0.05</t>
  </si>
  <si>
    <t xml:space="preserve">Optically guided 250kg bomb, fitted with range extension kit to allow it to glide over long distances.</t>
  </si>
  <si>
    <t xml:space="preserve">PAB-80LR</t>
  </si>
  <si>
    <t xml:space="preserve">2 × 0.3 × 0.3</t>
  </si>
  <si>
    <t xml:space="preserve">This glide bomb deploys folding wings, giving it an extended range from altitude. Guided by an optical seeker during the terminal phase, the PAB-80LR features a small radar cross-section and no IR signature.</t>
  </si>
  <si>
    <t xml:space="preserve">Radar Jamming Pod</t>
  </si>
  <si>
    <t xml:space="preserve">Brouilleur (nacelle)</t>
  </si>
  <si>
    <t xml:space="preserve">energy,jammer</t>
  </si>
  <si>
    <t xml:space="preserve">antiRadar</t>
  </si>
  <si>
    <t xml:space="preserve">Directional offensive jammer, capable of blinding one targeted radar per pod at ranges of up to 50km.</t>
  </si>
  <si>
    <t xml:space="preserve">12.7mm Machine Gun</t>
  </si>
  <si>
    <t xml:space="preserve">Canon / mitrailleuse / lance-grenade</t>
  </si>
  <si>
    <t xml:space="preserve">gun,boresight</t>
  </si>
  <si>
    <t xml:space="preserve">Firing .50 caliber ammunition, the 12.7mm machine gun is effective against aircraft and lightly armored surface targets at ranges of up to 1km (0.61 miles).</t>
  </si>
  <si>
    <t xml:space="preserve">12.7mm Rotary Machine Gun</t>
  </si>
  <si>
    <t xml:space="preserve">antiSurface,antiAir,antiMissile</t>
  </si>
  <si>
    <t xml:space="preserve">127mm Cannon</t>
  </si>
  <si>
    <t xml:space="preserve">gun</t>
  </si>
  <si>
    <t xml:space="preserve">130mm Cannon</t>
  </si>
  <si>
    <t xml:space="preserve">155mm Cannon</t>
  </si>
  <si>
    <t xml:space="preserve">155mm Railgun</t>
  </si>
  <si>
    <t xml:space="preserve">20mm Autocannon</t>
  </si>
  <si>
    <t xml:space="preserve">20mm cannon firing explosive shells at a lower rate of fire than its rotary counterpart.</t>
  </si>
  <si>
    <t xml:space="preserve">20mm Rotary Cannon (variante 1)</t>
  </si>
  <si>
    <t xml:space="preserve">20mm Rotary Cannon (variante 2)</t>
  </si>
  <si>
    <t xml:space="preserve">This rotary cannon fires 20mm explosive shells at 6000 rounds per minute, making it highly effective against aerial targets.</t>
  </si>
  <si>
    <t xml:space="preserve">20mm Rotary Cannon (variante 3)</t>
  </si>
  <si>
    <t xml:space="preserve">This computer stabilized turret fires dual purpose 20mm rounds, effective against aircraft or lighly armored surface targets at relatively short ranges</t>
  </si>
  <si>
    <t xml:space="preserve">23mm Autocannon</t>
  </si>
  <si>
    <t xml:space="preserve">25mm Autocannon</t>
  </si>
  <si>
    <t xml:space="preserve">Allowing a traverse range from -10 to +10 degrees and an elevation range from -20 to +5 degrees, this aimable cannon pod is effective against light armor or aircraft at distances of up to 2000m.</t>
  </si>
  <si>
    <t xml:space="preserve">25mm Rotary Cannon</t>
  </si>
  <si>
    <t xml:space="preserve">The 25mm rotary cannon fires dual purpose explosive shells, effective against aircraft or moderately armored surface targets.</t>
  </si>
  <si>
    <t xml:space="preserve">27mm Autocannon</t>
  </si>
  <si>
    <t xml:space="preserve">Slower firing than its rotary counterparts, the 27mm Autocannon packs a heavier punch and is effective against both aircraft and moderately armored surface targets.</t>
  </si>
  <si>
    <t xml:space="preserve">30mm Cannon</t>
  </si>
  <si>
    <t xml:space="preserve">30mm Chaingun</t>
  </si>
  <si>
    <t xml:space="preserve">This gun shoots 30mm explosive shells effective against armored ground vehicles and buildings at ranges of over 2km (1.3m).</t>
  </si>
  <si>
    <t xml:space="preserve">30mm Rotary Cannon (variante 1)</t>
  </si>
  <si>
    <t xml:space="preserve">Occupying three structural hardpoints and weighing in at 1.6 tons loaded, this seven-barrelled, twin motor behemoth fires a mixed belt of 30mm armour piercing incendiary &amp; HE rounds at 3000rpm. Can be made effective against the majority of enemy vehicles, buildings, and slow moving aircraft.</t>
  </si>
  <si>
    <t xml:space="preserve">30mm Rotary Cannon (variante 2)</t>
  </si>
  <si>
    <t xml:space="preserve">The 30mm rotary cannon fires large, dual purpose explosive shells, effective against armored surface targets.</t>
  </si>
  <si>
    <t xml:space="preserve">35mm Autocannon</t>
  </si>
  <si>
    <t xml:space="preserve">The 35mm Autocannon packs a heavier punch than other aerial guns and is effective against many armored surface targets. Its superior ballistics allow it to remain effective at ranges exceeding 3000m.</t>
  </si>
  <si>
    <t xml:space="preserve">40mm Cannon</t>
  </si>
  <si>
    <t xml:space="preserve">40mm GMG</t>
  </si>
  <si>
    <t xml:space="preserve">Automatic grenade launcher firing low-velocity 40mm explosive rounds, ideal for destroying small buildings or groups of lightly-armored targets</t>
  </si>
  <si>
    <t xml:space="preserve">40mm Grenade</t>
  </si>
  <si>
    <t xml:space="preserve">Low velocity from short tube, fired more opportunistically by infantry</t>
  </si>
  <si>
    <t xml:space="preserve">57mm Cannon (variante 1)</t>
  </si>
  <si>
    <t xml:space="preserve">An fast firing, autoloaded 57mm gun, firing high velocity unguided shells. When fired against air targets, the shells use a proximity fuse to deal fragmentation damage.</t>
  </si>
  <si>
    <t xml:space="preserve">57mm Cannon (variante 2)</t>
  </si>
  <si>
    <t xml:space="preserve">57mm Cannon (variante 3)</t>
  </si>
  <si>
    <t xml:space="preserve">A heavy forward fixed cannon, firing 57mm multi-purpose warheads at 250rpm. Automatically adjusts fuzing type and timing according to target parameters.</t>
  </si>
  <si>
    <t xml:space="preserve">57mm Cannon (variante 4)</t>
  </si>
  <si>
    <t xml:space="preserve">70mm Light AT</t>
  </si>
  <si>
    <t xml:space="preserve">Confined space compatible shoulder fired recoilless rifle</t>
  </si>
  <si>
    <t xml:space="preserve">76mm Cannon (variante 1)</t>
  </si>
  <si>
    <t xml:space="preserve">An autoloaded 76mm gun, firing fin-stabilised guided projectiles. The gun requires airflow for cooling. It has a maximum firerate of 60RPM for 10 seconds, and can sustain a constant firerate of at least 40 RPM while moving at 500kph</t>
  </si>
  <si>
    <t xml:space="preserve">76mm Cannon (variante 2)</t>
  </si>
  <si>
    <t xml:space="preserve">??? (variante 2)</t>
  </si>
  <si>
    <t xml:space="preserve">??? (variante 4)</t>
  </si>
  <si>
    <t xml:space="preserve">antiMissile</t>
  </si>
  <si>
    <t xml:space="preserve">Light Machine Gun</t>
  </si>
  <si>
    <t xml:space="preserve">Intermediate cartridge. It tickles.</t>
  </si>
  <si>
    <t xml:space="preserve">AAM-29 Scythe</t>
  </si>
  <si>
    <t xml:space="preserve">Missile</t>
  </si>
  <si>
    <t xml:space="preserve">Radar actif (ARH)</t>
  </si>
  <si>
    <t xml:space="preserve">loft 0.7; évasion zigzag 0.2; phase terminale à 12000 m</t>
  </si>
  <si>
    <t xml:space="preserve">portée radar 15000.0; angle suivi max 60.0; angle datalink max 80.0; tolérance brouillage 0.85</t>
  </si>
  <si>
    <t xml:space="preserve">3.5 × 0.4 × 0.4</t>
  </si>
  <si>
    <t xml:space="preserve">missile</t>
  </si>
  <si>
    <t xml:space="preserve">antiAir,antiMissile</t>
  </si>
  <si>
    <t xml:space="preserve">Using a combination of inertial guidance and terminal radar homing, the Scythe can engage aerial targets at beyond visual range</t>
  </si>
  <si>
    <t xml:space="preserve">AAM-36 Scimitar</t>
  </si>
  <si>
    <t xml:space="preserve">loft 0.1; évasion zigzag 0.3; phase terminale à 12000 m</t>
  </si>
  <si>
    <t xml:space="preserve">portée radar 15000.0; angle suivi max 45.0; angle datalink max 90.0; tolérance brouillage 0.8</t>
  </si>
  <si>
    <t xml:space="preserve">3.7 × 0.5 × 0.5</t>
  </si>
  <si>
    <t xml:space="preserve">Long-range air-to-air missile using a ramjet sustainer motor for beyond visual range (BVR) engagements. The AAM-36 takes approximately 20 seconds to reach a top speed of Mach 4.</t>
  </si>
  <si>
    <t xml:space="preserve">AGM-48</t>
  </si>
  <si>
    <t xml:space="preserve">datalink; loft 0.2; évasion zigzag 0.1; évite le relief</t>
  </si>
  <si>
    <t xml:space="preserve">rayon recherche 50.0; vitesse cible max 40.0</t>
  </si>
  <si>
    <t xml:space="preserve">1.6 × 0.2 × 0.2</t>
  </si>
  <si>
    <t xml:space="preserve">Effective against ground targets or slow-flying aircraft at ranges of up to 8km, the AGM-48 can maneuver erratically to make interception difficult.</t>
  </si>
  <si>
    <t xml:space="preserve">AGM-68</t>
  </si>
  <si>
    <t xml:space="preserve">datalink; loft 0.2; évasion zigzag 0.07; évite le relief</t>
  </si>
  <si>
    <t xml:space="preserve">rayon recherche 100.0; vitesse cible max 45.0</t>
  </si>
  <si>
    <t xml:space="preserve">2.5 × 0.5 × 0.5</t>
  </si>
  <si>
    <t xml:space="preserve">The AGM-68 is a large, optically guided missile capable of destroying structures and heavily armored vehicles. It follows an unpredictable trajectory to avoid interception.</t>
  </si>
  <si>
    <t xml:space="preserve">AGM-99</t>
  </si>
  <si>
    <t xml:space="preserve">Optique croisière</t>
  </si>
  <si>
    <t xml:space="preserve">attaque par le haut (proba 0.25, 700-2000 m); rase-flots/rase-sol 6.0 m; évasion zigzag 0.2; accélération terminale (500-8000 m); phase terminale à 8000 m</t>
  </si>
  <si>
    <t xml:space="preserve">rayon recherche 10000.0; vitesse cible max 30.0</t>
  </si>
  <si>
    <t xml:space="preserve">3.9 × 0.4 × 0.4</t>
  </si>
  <si>
    <t xml:space="preserve">missile,overHorizon</t>
  </si>
  <si>
    <t xml:space="preserve">This anti-ship missile has a very low altitude cruise profile with a pop-up terminal attack mode designed to penetrate ship defenses. Can be deployed from aircraft or launched from an Argus Class Frigate.</t>
  </si>
  <si>
    <t xml:space="preserve">ALM-C450</t>
  </si>
  <si>
    <t xml:space="preserve">rase-flots/rase-sol 12.0 m; phase terminale à 3000 m</t>
  </si>
  <si>
    <t xml:space="preserve">rayon recherche 500.0; vitesse cible max 30.0</t>
  </si>
  <si>
    <t xml:space="preserve">4.4 × 3.2 × 0.6</t>
  </si>
  <si>
    <t xml:space="preserve">Flying at subsonic speeds along a terrain-hugging flight path, this cruise missile is difficult to detect and can overwhelm defenses in large numbers.</t>
  </si>
  <si>
    <t xml:space="preserve">ARAD-116</t>
  </si>
  <si>
    <t xml:space="preserve">Anti-radar (ARM)</t>
  </si>
  <si>
    <t xml:space="preserve">loft 0.3; évasion zigzag 0.2</t>
  </si>
  <si>
    <t xml:space="preserve">angle cible max 45.0</t>
  </si>
  <si>
    <t xml:space="preserve">4.4 × 0.3 × 0.3</t>
  </si>
  <si>
    <t xml:space="preserve">This anti-radiation missile will lock on to radar emissions after launch, making it ideal for attacking SAM sites at beyond visual range.</t>
  </si>
  <si>
    <t xml:space="preserve">ARAD-45</t>
  </si>
  <si>
    <t xml:space="preserve">loft 0.3</t>
  </si>
  <si>
    <t xml:space="preserve">2.9 × 0.3 × 0.3</t>
  </si>
  <si>
    <t xml:space="preserve">The ARAD-45 uses the same body as the RAM-45 missile, but with an anti-radiation seeker, which will lock on to radar emissions after launch, making it ideal for attacking SAM sites at medium range.</t>
  </si>
  <si>
    <t xml:space="preserve">AShM-300</t>
  </si>
  <si>
    <t xml:space="preserve">rase-flots/rase-sol 8.0 m; évasion zigzag 0.05; phase terminale à 5000 m</t>
  </si>
  <si>
    <t xml:space="preserve">rayon recherche 12000.0; vitesse cible max 30.0</t>
  </si>
  <si>
    <t xml:space="preserve">This anti-ship cruise missile can be launched from aircraft or vertically by the Dynamo class Destroyer, using sea-skimming technique and supersonic speeds to penetrate the enemy's air defense systems.</t>
  </si>
  <si>
    <t xml:space="preserve">AT-145</t>
  </si>
  <si>
    <t xml:space="preserve">datalink; loft 0.1</t>
  </si>
  <si>
    <t xml:space="preserve">1.3 × 0.1 × 0.1</t>
  </si>
  <si>
    <t xml:space="preserve">Short-range anti-tank guided missile designed for knocking out vehicles, emplacements,  and small buildings</t>
  </si>
  <si>
    <t xml:space="preserve">ATP-1</t>
  </si>
  <si>
    <t xml:space="preserve">datalink; loft 0.1; attaque par le haut (proba 1.0, 300-8000 m); angle d'attaque haut 60.0°</t>
  </si>
  <si>
    <t xml:space="preserve">Designed specifically for anti-armor applications, this short range fire-and-forget missile is ideal for penetrating well protected tanks from any angle.</t>
  </si>
  <si>
    <t xml:space="preserve">Eyeball Mk.II</t>
  </si>
  <si>
    <t xml:space="preserve">datalink; loft 0.4; évasion zigzag 0.3; évite le relief</t>
  </si>
  <si>
    <t xml:space="preserve">antiSurface,antiRadar</t>
  </si>
  <si>
    <t xml:space="preserve">This modified AGM-48 replaces the missile's usual warhead with a panoramic optical sensor suite capable of detecting enemy targets and registering them as contacts on faction datalink</t>
  </si>
  <si>
    <t xml:space="preserve">IRM-S1</t>
  </si>
  <si>
    <t xml:space="preserve">IR</t>
  </si>
  <si>
    <t xml:space="preserve">résistance leurres 1.75; erreur pos. 1.0</t>
  </si>
  <si>
    <t xml:space="preserve">1.5 × 0.1 × 0.1</t>
  </si>
  <si>
    <t xml:space="preserve">Carried by air defense vehicles and light aircraft, this heat-seeking missile is effective against air targets at a range up to 5km</t>
  </si>
  <si>
    <t xml:space="preserve">IRM-S2</t>
  </si>
  <si>
    <t xml:space="preserve">résistance leurres 2.0; erreur pos. 3.0</t>
  </si>
  <si>
    <t xml:space="preserve">2.5 × 0.24 × 0.24</t>
  </si>
  <si>
    <t xml:space="preserve">Compact and maneuverable short-range heat seeking missile, ideal for defensive anti-air use</t>
  </si>
  <si>
    <t xml:space="preserve">MMR-S3</t>
  </si>
  <si>
    <t xml:space="preserve">résistance leurres 2.1; erreur pos. 3.0</t>
  </si>
  <si>
    <t xml:space="preserve">3 × 0.3 × 0.3</t>
  </si>
  <si>
    <t xml:space="preserve">Medium-range heat seeking missile ideal for attacking fast and maneuverable aircraft</t>
  </si>
  <si>
    <t xml:space="preserve">NL-98</t>
  </si>
  <si>
    <t xml:space="preserve">loft 0.3; phase terminale à 12000 m</t>
  </si>
  <si>
    <t xml:space="preserve">portée radar 15000.0; angle suivi max 50.0; angle datalink max 180.0; tolérance brouillage 0.8</t>
  </si>
  <si>
    <t xml:space="preserve">A surface-launched active radar homing missile. Uses a combination of inertial guidance and terminal radar homing, and can be fired at aerial targets on datalink from beyond visual range.</t>
  </si>
  <si>
    <t xml:space="preserve">Piledriver TBM</t>
  </si>
  <si>
    <t xml:space="preserve">Balistique</t>
  </si>
  <si>
    <t xml:space="preserve">erreur circulaire 10.0</t>
  </si>
  <si>
    <t xml:space="preserve">6.9 × 1 × 1</t>
  </si>
  <si>
    <t xml:space="preserve">Designed for long-range precision strikes against high value targets, this tactical ballistic missile leaves the atmosphere before reentering on a steep trajectory, exceeding Mach 4 on impact. The Piledriver is virtually impossible to intercept without long range missile defenses in the vicinity of the target.</t>
  </si>
  <si>
    <t xml:space="preserve">RAM-45</t>
  </si>
  <si>
    <t xml:space="preserve">Radar semi-actif (SARH)</t>
  </si>
  <si>
    <t xml:space="preserve">angle chercheur 45.0; tolérance brouillage 0.7</t>
  </si>
  <si>
    <t xml:space="preserve">Vertically launched missile effective against aerial radar returns at a range up to 15km</t>
  </si>
  <si>
    <t xml:space="preserve">StratoLance R9</t>
  </si>
  <si>
    <t xml:space="preserve">5 × 0.3 × 0.3</t>
  </si>
  <si>
    <t xml:space="preserve">Long range ground launched semi-active radar homing missile</t>
  </si>
  <si>
    <t xml:space="preserve">Tusko-B (HE)</t>
  </si>
  <si>
    <t xml:space="preserve">datalink; loft 1.0; évasion zigzag 0.04</t>
  </si>
  <si>
    <t xml:space="preserve">rayon recherche 1000.0; vitesse cible max 30.0</t>
  </si>
  <si>
    <t xml:space="preserve">3.9 × 0.6 × 0.6</t>
  </si>
  <si>
    <t xml:space="preserve">Long-range anti-surface missile employing a quasi-ballistic trajectory, allowing it to reach distant targets at supersonic speeds.</t>
  </si>
  <si>
    <t xml:space="preserve">AIR-2 Genie</t>
  </si>
  <si>
    <t xml:space="preserve">Missile nucléaire</t>
  </si>
  <si>
    <t xml:space="preserve">rayon recherche 200.0; vitesse cible max 30.0</t>
  </si>
  <si>
    <t xml:space="preserve">missile,nuclear</t>
  </si>
  <si>
    <t xml:space="preserve">antiAir</t>
  </si>
  <si>
    <t xml:space="preserve">Unguided air-to-air rocket with a 1.5kt nuclear warhead and a 12-second time delay fuse. Why is this still in the inventory?</t>
  </si>
  <si>
    <t xml:space="preserve">ALND-4 (20kt)</t>
  </si>
  <si>
    <t xml:space="preserve">rase-flots/rase-sol 12.0 m; phase terminale à 2000 m</t>
  </si>
  <si>
    <t xml:space="preserve">6.27 × 2.74 × 0.96</t>
  </si>
  <si>
    <t xml:space="preserve">missile,overHorizon,nuclear</t>
  </si>
  <si>
    <t xml:space="preserve">The ALND-4 (Air Launched Nuclear Deterrent) is a long range subsonic cruise missile carrying a tactical nuclear warhead.</t>
  </si>
  <si>
    <t xml:space="preserve">Piledriver TBM (20kt)</t>
  </si>
  <si>
    <t xml:space="preserve">MLRS Rocket</t>
  </si>
  <si>
    <t xml:space="preserve">Roquette / obus guidé</t>
  </si>
  <si>
    <t xml:space="preserve">Inertiel/GPS (obus)</t>
  </si>
  <si>
    <t xml:space="preserve">datalink</t>
  </si>
  <si>
    <t xml:space="preserve">CEP 80.0</t>
  </si>
  <si>
    <t xml:space="preserve">3.88 × 0.22 × 0.22</t>
  </si>
  <si>
    <t xml:space="preserve">boresight,overHorizon</t>
  </si>
  <si>
    <t xml:space="preserve">Long range artillery rocket with inertial navigation and terminal laser guidance to improve accuracy. A thermobaric warhead provides enhanced blast effects, ideal for demolishing buildings and defensive structures.</t>
  </si>
  <si>
    <t xml:space="preserve">AGR-18 Lynchpin</t>
  </si>
  <si>
    <t xml:space="preserve">Roquette guidée laser</t>
  </si>
  <si>
    <t xml:space="preserve">Laser</t>
  </si>
  <si>
    <t xml:space="preserve">angle chercheur max 10.0; vitesse cible max 30.0</t>
  </si>
  <si>
    <t xml:space="preserve">laserGuided</t>
  </si>
  <si>
    <t xml:space="preserve">Short range 70mm rocket with a laser guidance package providing limited maneuverability. Launching aircraft must aim at the target and keep it selected to provide guidance.</t>
  </si>
  <si>
    <t xml:space="preserve">AGR-24 Kingpin</t>
  </si>
  <si>
    <t xml:space="preserve">Medium range 127mm rocket with a laser guidance package providing limited maneuverability. Launching aircraft must aim at the target and keep it selected to provide guidance.</t>
  </si>
  <si>
    <t xml:space="preserve">120kw Laser</t>
  </si>
  <si>
    <t xml:space="preserve">Énergie / équipement</t>
  </si>
  <si>
    <t xml:space="preserve">energy</t>
  </si>
  <si>
    <t xml:space="preserve">High energy laser weapon designed to intercept missiles and bombs at ranges of up to 15km.</t>
  </si>
  <si>
    <t xml:space="preserve">20kw Laser</t>
  </si>
  <si>
    <t xml:space="preserve">Point-defence laser designed to intercept approaching missiles from within 2km.</t>
  </si>
  <si>
    <t xml:space="preserve">80kw Laser</t>
  </si>
  <si>
    <t xml:space="preserve">Point-defence laser designed to intercept approaching missiles from within 8km.</t>
  </si>
  <si>
    <t xml:space="preserve">Radome</t>
  </si>
  <si>
    <t xml:space="preserve">Powerful long-range all-aspect radar, capable of spotting aircraft even at altitudes as low as 5m (16ft)</t>
  </si>
  <si>
    <t xml:space="preserve">Special Flare</t>
  </si>
  <si>
    <t xml:space="preserve">Flares</t>
  </si>
  <si>
    <t xml:space="preserve">Special Smoke</t>
  </si>
  <si>
    <t xml:space="preserve">Smoke</t>
  </si>
  <si>
    <t xml:space="preserve">Aryx F-16M</t>
  </si>
  <si>
    <t xml:space="preserve">20mm M61 Vulcan Cannon</t>
  </si>
  <si>
    <t xml:space="preserve">Aryx F-99 Shrike</t>
  </si>
  <si>
    <t xml:space="preserve">Existe aussi dans le jeu de base : le mod redéfinit l'arme (valeurs différentes)</t>
  </si>
  <si>
    <t xml:space="preserve">This rapid-fire aircraft autocannon fires 20mm HE at a high rate of fire, able to tear through enemy aircraft with ease.</t>
  </si>
  <si>
    <t xml:space="preserve">Aryx FS-41 Eclipse</t>
  </si>
  <si>
    <t xml:space="preserve">20mm Rotary Cannon (Hi-RPM)</t>
  </si>
  <si>
    <t xml:space="preserve">This rotary cannon fires high explosive 20mm rounds at 5,000rpm, excellent for close-in air to air engagements.</t>
  </si>
  <si>
    <t xml:space="preserve">Arme probablement des porte-avions Helion et Penumbra livrés avec ce mod (lanceurs et canons rattachés aux navires)</t>
  </si>
  <si>
    <t xml:space="preserve">20mm Rotary Cannon (LO-RPM)</t>
  </si>
  <si>
    <t xml:space="preserve">This rotary cannon fires high explosive 20mm rounds at 1,200rpm, excellent for close-in air to air engagements. This option has a lower fire rate than the standard 20mm for increased endurance at the cost of shot volume.</t>
  </si>
  <si>
    <t xml:space="preserve">30mm Autocannon</t>
  </si>
  <si>
    <t xml:space="preserve">Multipurpose 30mm autocannon meant for anti-surface duties.</t>
  </si>
  <si>
    <t xml:space="preserve">AAM-45 Sabre</t>
  </si>
  <si>
    <t xml:space="preserve">loft 0.35; évasion zigzag 0.2; phase terminale à 8000 m</t>
  </si>
  <si>
    <t xml:space="preserve">portée radar 22000.0; angle suivi max 80.0; angle datalink max 110.0; tolérance brouillage 0.85</t>
  </si>
  <si>
    <t xml:space="preserve">4.3 × 0.45 × 0.45</t>
  </si>
  <si>
    <t xml:space="preserve">The AAM-45 Sabre is a two-stage booster &amp; ramjet, active-radar homing air-to-air missile designed to destroy high value targets from long range, built for carriage within the FS-41 Eclipse. This gigantic half-ton missile combines mach 4 closing speeds and home-on-jam with long range datalinked guidance with a short pitbull distance to oppress if not destroy enemy bombers and large fighters. It is less agile than its peers but packs a devastating punch.</t>
  </si>
  <si>
    <t xml:space="preserve">SAM-85 Whirlwind</t>
  </si>
  <si>
    <t xml:space="preserve">4.5 × 0.5 × 0.5</t>
  </si>
  <si>
    <t xml:space="preserve">The SAM-85 Whirlwind is a cold-launch SARH air defence missile designed to protect naval assets from aerial threats at medium range. It features a large warhead, good range and admirable agility.</t>
  </si>
  <si>
    <t xml:space="preserve">Masse lue sur la définition du missile/bombe ; Arme probablement des porte-avions Helion et Penumbra livrés avec ce mod (lanceurs et canons rattachés aux navires)</t>
  </si>
  <si>
    <t xml:space="preserve">200kW Blue Laser</t>
  </si>
  <si>
    <t xml:space="preserve">High wattage pulse laser for intercepting incoming munitions.</t>
  </si>
  <si>
    <t xml:space="preserve">Aryx MC-260 Chimera</t>
  </si>
  <si>
    <t xml:space="preserve">105mm Cannon</t>
  </si>
  <si>
    <t xml:space="preserve">105mm Howitzer</t>
  </si>
  <si>
    <t xml:space="preserve">Long-range aircraft howitzer firing guided HE rounds.</t>
  </si>
  <si>
    <t xml:space="preserve">127mm Railgun</t>
  </si>
  <si>
    <t xml:space="preserve">A 127mm electromagnetic pulse railgun able to destroy hardened structures at range. Unguided, so shot convergence may vary.</t>
  </si>
  <si>
    <t xml:space="preserve">152mm Cannon</t>
  </si>
  <si>
    <t xml:space="preserve">30mm Rotary Cannon</t>
  </si>
  <si>
    <t xml:space="preserve">A belt-fed two-tonne behemoth of a heavy gatling gun mounted onto a turret cradle. Whilst questionable in effectiveness, it does look and sound cool.</t>
  </si>
  <si>
    <t xml:space="preserve">35mm AA Autocannon</t>
  </si>
  <si>
    <t xml:space="preserve">35mm anti-air gun</t>
  </si>
  <si>
    <t xml:space="preserve">57mm Chaingun</t>
  </si>
  <si>
    <t xml:space="preserve">A belt-fed 57mm triple-barrel chaingun firing general purpose SAPHE rounds for dealing with medium-armoured targets and structures.</t>
  </si>
  <si>
    <t xml:space="preserve">81mm Mortar</t>
  </si>
  <si>
    <t xml:space="preserve">A medium range subsonic 81mm HE mortar shell with an optical-laser guidance kit for light artillery purposes.</t>
  </si>
  <si>
    <t xml:space="preserve">An extremely powerful long-range all-aspect radar system for early warning, capable of spotting aircraft even at altitudes as low as 5m (16ft)</t>
  </si>
  <si>
    <t xml:space="preserve">Aryx MiG-15</t>
  </si>
  <si>
    <t xml:space="preserve">37mm Autocannon</t>
  </si>
  <si>
    <t xml:space="preserve">57mm Autocannon</t>
  </si>
  <si>
    <t xml:space="preserve">I'm Chief Splashabitch from the 57mmhoe tribe</t>
  </si>
  <si>
    <t xml:space="preserve">Masse par munition quasi nulle dans le jeu (0,0001 kg) : valeur à prendre avec prudence</t>
  </si>
  <si>
    <t xml:space="preserve">Aryx NAVEX</t>
  </si>
  <si>
    <t xml:space="preserve">130mm Railgun</t>
  </si>
  <si>
    <t xml:space="preserve">2000kg HE Warhead</t>
  </si>
  <si>
    <t xml:space="preserve">A large thermobaric warhead designed to destroy enemy capital ships. Big badda boom.</t>
  </si>
  <si>
    <t xml:space="preserve">203mm Deck Gun</t>
  </si>
  <si>
    <t xml:space="preserve">23mm CIWS</t>
  </si>
  <si>
    <t xml:space="preserve">SLND-9 (20kt)</t>
  </si>
  <si>
    <t xml:space="preserve">attaque par le haut (proba 0.1, 600-1000 m); rase-flots/rase-sol 8.0 m; évasion zigzag 0.1; phase terminale à 2000 m</t>
  </si>
  <si>
    <t xml:space="preserve">8.7 × 2.74 × 0.96</t>
  </si>
  <si>
    <t xml:space="preserve">The SLND-9 is a surface-launched variant of the infamous ALND-4 platform, with an improved design featuring a VLS booster to clear it from the launching ship and more active evasion patterns on final approach. It is also RAM treated and harder to intercept than its air launched sibling.</t>
  </si>
  <si>
    <t xml:space="preserve">Aryx OA-27 Cavalier</t>
  </si>
  <si>
    <t xml:space="preserve">14.5mm Machine Gun</t>
  </si>
  <si>
    <t xml:space="preserve">A heavy machine gun adapted for aircraft use, effective against aircraft and thinly-armoured ground targets. Unlike its smaller .50cal cousin, the 14.5 fires incendiary rounds with 5 grams of HE filler.</t>
  </si>
  <si>
    <t xml:space="preserve">20mm autocannon firing explosive dual-purpose shells at a modest rate of fire.</t>
  </si>
  <si>
    <t xml:space="preserve">This twin-barrel 30mm swivel gunpod fires 30mm AP shells effective against armoured vehicles and buildings.</t>
  </si>
  <si>
    <t xml:space="preserve">Aryx RAH-72</t>
  </si>
  <si>
    <t xml:space="preserve">This 30mm cannon fires dual purpose HE rounds for use against surface targets. It is mounted to a flex gimbal for ease of targeting and is capable of firing without pilot control. It occupies the volume of the right internal bay with its traversal mechanism and ammunition drum.</t>
  </si>
  <si>
    <t xml:space="preserve">Aryx Weaponry Pack</t>
  </si>
  <si>
    <t xml:space="preserve">Présent depuis le pack 1.1.1 ; mêmes valeurs que la ligne du jeu de base et que celle du F-99 Shrike</t>
  </si>
  <si>
    <t xml:space="preserve">PAB-3000LR</t>
  </si>
  <si>
    <t xml:space="preserve">4.2 × 1 × 1.1</t>
  </si>
  <si>
    <t xml:space="preserve">A large anti-surface bomb granted extended range with an unpowered glide kit and INS guidance, able to destroy multiple hardened structures in a single hit.</t>
  </si>
  <si>
    <t xml:space="preserve">PGM-400LR</t>
  </si>
  <si>
    <t xml:space="preserve">datalink; loft 0.055</t>
  </si>
  <si>
    <t xml:space="preserve">3 × 0.5 × 0.5</t>
  </si>
  <si>
    <t xml:space="preserve">This stealthy, optically-guided glide bomb packs a heavy punch with its unitary 400kg HE warhead, and is detected at a shorter range compared to other glide munitions.</t>
  </si>
  <si>
    <t xml:space="preserve">AEC-124 Offensive Jammer</t>
  </si>
  <si>
    <t xml:space="preserve">A smaller offensive jammer designed to provide a broader range of aircraft with EWAR capability. Maximum range of 30km, can only jam radar bands used by ships and ground vehicles.</t>
  </si>
  <si>
    <t xml:space="preserve">Portée 30 km (50 km pour la nacelle du jeu de base) ; ne brouille que les bandes radar des navires et véhicules terrestres. Nacelle ajoutée au pack en 1.1.1 : support de 420 kg et 0,5 M$ (fiche du support, pas de l'arme)</t>
  </si>
  <si>
    <t xml:space="preserve">ASD-16 Submunition Dispenser</t>
  </si>
  <si>
    <t xml:space="preserve">Distributeur de sous-munitions</t>
  </si>
  <si>
    <t xml:space="preserve">The ASD-16 Aerial Submunitions Dispenser is a compact, self-contained bomblet dispenser used for area denial and saturation attacks. It utilises a similar model to the GS-25 bomblets found in the GBM-500LR albeit without automatic independent targeting.</t>
  </si>
  <si>
    <t xml:space="preserve">AGM-111 Nemesis</t>
  </si>
  <si>
    <t xml:space="preserve">6 × 2.2 × 0.6</t>
  </si>
  <si>
    <t xml:space="preserve">Owing to shortcomings in practical use of the AGM-99 as an anti-ship weapon, this Boscali cruise missile boasts Mach 2.5 cruise speeds and a hefty 700kg warhead supported by a datalinked optical imaging seeker in order to take out heavily defended ships and structures. Nemesis stores 32 IR flares that dispense to defend it against incoming IR missiles.</t>
  </si>
  <si>
    <t xml:space="preserve">AGM-27 Pyre</t>
  </si>
  <si>
    <t xml:space="preserve">rayon recherche 50.0; vitesse cible max 50.0</t>
  </si>
  <si>
    <t xml:space="preserve">2 × 0.25 × 0.25</t>
  </si>
  <si>
    <t xml:space="preserve">The AGM-27 Pyre is a compact air-to-ground missile designed to provide high-end supersonic aircraft with short-range anti-armour capability. It is comparable to the AGM-48 in stature and capability, however is much better suited for high speed aircraft and can be carried internally.</t>
  </si>
  <si>
    <t xml:space="preserve">AGM-76 Atlatl</t>
  </si>
  <si>
    <t xml:space="preserve">rase-flots/rase-sol 7.5 m; évasion zigzag 0.05; phase terminale à 3000 m</t>
  </si>
  <si>
    <t xml:space="preserve">rayon recherche 7500.0; vitesse cible max 40.0</t>
  </si>
  <si>
    <t xml:space="preserve">2.1 × 0.8 × 0.4</t>
  </si>
  <si>
    <t xml:space="preserve">A compact medium-range INS/OPT guidance cruise missile designed to give small aircraft standoff capability.</t>
  </si>
  <si>
    <t xml:space="preserve">HSM-750 Starfall</t>
  </si>
  <si>
    <t xml:space="preserve">Inertiel + datalink (hypersonique)</t>
  </si>
  <si>
    <t xml:space="preserve">croisière à 20000 m, montée 25°, plongeon terminal 60° (10000-40000 m)</t>
  </si>
  <si>
    <t xml:space="preserve">datalink actualisé toutes les 0,25 s</t>
  </si>
  <si>
    <t xml:space="preserve">9 × 1.6 × 1</t>
  </si>
  <si>
    <t xml:space="preserve">The HSM-750 Starfall is a heavy hypersonic strike missile with a unitary 750kg warhead and INS guidance system. It lofts to high altitude then dives onto its target at hypersonic speeds. Minimum warhead arming time of 10 seconds. INS seeker requires target to be painted on datalink for the duration of the flight otherwise the Starfall will miss.</t>
  </si>
  <si>
    <t xml:space="preserve">IRM-S5 Gladius</t>
  </si>
  <si>
    <t xml:space="preserve">résistance leurres 2.5; erreur pos. 2.0</t>
  </si>
  <si>
    <t xml:space="preserve">2 × 0.18 × 0.18</t>
  </si>
  <si>
    <t xml:space="preserve">Advanced short-range air to air missile featuring extreme manoeuverability and high TWR, perfect for close-in knife fights.</t>
  </si>
  <si>
    <t xml:space="preserve">MRM-S4 Broadsword</t>
  </si>
  <si>
    <t xml:space="preserve">résistance leurres 3.5; erreur pos. 0.05</t>
  </si>
  <si>
    <t xml:space="preserve">3 × 0.31 × 0.31</t>
  </si>
  <si>
    <t xml:space="preserve">Advanced and flare-resistant medium range infrared air to air missile effective at ranges up to 20km.</t>
  </si>
  <si>
    <t xml:space="preserve">R-100N Zenith</t>
  </si>
  <si>
    <t xml:space="preserve">Radar/inertiel — intercepteur antibalistique</t>
  </si>
  <si>
    <t xml:space="preserve">hit-to-kill (rayon de capture 150 m), armement &gt; 750 m</t>
  </si>
  <si>
    <t xml:space="preserve">angle chercheur 90°; tolérance brouillage 0.75</t>
  </si>
  <si>
    <t xml:space="preserve">7.1 × 0.4 × 0.4</t>
  </si>
  <si>
    <t xml:space="preserve">The R-100N Zenith is a strategic terminal high-altitude air defence missile designed to intercept ballistic and hypersonic missiles at high altitudes. It features a attitude control motors, a low yield nuclear warhead and phenomenal climb speed to all but guarantee the destruction of its target.</t>
  </si>
  <si>
    <t xml:space="preserve">HSM-N Sunfall</t>
  </si>
  <si>
    <t xml:space="preserve">The HSM-N Sunfall is a heavy hypersonic strike missile with a 20kT strategic yield nuclear warhead and INS guidance system. It lofts to high altitude then dives onto its target at hypersonic speeds.</t>
  </si>
  <si>
    <t xml:space="preserve">Tusko-N (1.5kt)</t>
  </si>
  <si>
    <t xml:space="preserve">Long-range anti-surface missile employing a quasi-ballistic trajectory, allowing it to reach distant targets at supersonic speeds; Equipped with a tactical-yield nuclear warhead. Warhead arms after 10 seconds of flight.</t>
  </si>
  <si>
    <t xml:space="preserve">ETS-15 Targeting Pod</t>
  </si>
  <si>
    <t xml:space="preserve">Nacelle de ciblage</t>
  </si>
  <si>
    <t xml:space="preserve">détection optique 10-12 km, grossissement 2,5-3 (voir note)</t>
  </si>
  <si>
    <t xml:space="preserve">This external targeting system sports a 10km range high-magnification optical detector as well as three additional laser designators for the mounting aircraft.</t>
  </si>
  <si>
    <t xml:space="preserve">Deux nacelles de détection dans le mod (10 km/x2,5 et 12 km/x3) : l'attribution à ce nom n'est pas confirmée</t>
  </si>
  <si>
    <t xml:space="preserve">ECS-16 Countermeasure Dispenser</t>
  </si>
  <si>
    <t xml:space="preserve">Rack de leurres</t>
  </si>
  <si>
    <t xml:space="preserve">16 leurres</t>
  </si>
  <si>
    <t xml:space="preserve">Externally-mounted IR countermeasure dispenser for improving survivability</t>
  </si>
  <si>
    <t xml:space="preserve">Capacité lue dans le composant du mod</t>
  </si>
  <si>
    <t xml:space="preserve">ECS-32 Countermeasure Dispenser</t>
  </si>
  <si>
    <t xml:space="preserve">32 leurres</t>
  </si>
  <si>
    <t xml:space="preserve">AGR-37 Jester</t>
  </si>
  <si>
    <t xml:space="preserve">angle chercheur max 30.0; vitesse cible max 60.0</t>
  </si>
  <si>
    <t xml:space="preserve">Medium range heavy 203mm laser-guided rocket, with a powerful 50kg shaped charge warhead, best used against heavily armoured ground targets and structures. Launching aircraft must aim at the target and keep it selected to provide guidance.</t>
  </si>
  <si>
    <t xml:space="preserve">1200kg Drop Tank</t>
  </si>
  <si>
    <t xml:space="preserve">Réservoir largable</t>
  </si>
  <si>
    <t xml:space="preserve">—</t>
  </si>
  <si>
    <t xml:space="preserve">capacité 1200 L</t>
  </si>
  <si>
    <t xml:space="preserve">4 × 0.25 × 0.25</t>
  </si>
  <si>
    <t xml:space="preserve">Detachable aircraft external fuel tank containing 370gal / 1200kg of fuel. Automatically detaches when empty.</t>
  </si>
  <si>
    <t xml:space="preserve">2000kg Drop Tank</t>
  </si>
  <si>
    <t xml:space="preserve">capacité 2000 L</t>
  </si>
  <si>
    <t xml:space="preserve">5 × 0.25 × 0.25</t>
  </si>
  <si>
    <t xml:space="preserve">Detachable aircraft external fuel tank containing 600gal  / 2000kg of fuel. Automatically detaches when empty.</t>
  </si>
  <si>
    <t xml:space="preserve">450kg Drop Tank</t>
  </si>
  <si>
    <t xml:space="preserve">capacité 450 L</t>
  </si>
  <si>
    <t xml:space="preserve">Detachable aircraft external fuel tank containing 150gal / 450kg of fuel. Automatically detaches when empty.</t>
  </si>
  <si>
    <t xml:space="preserve">FS-3 Ternion</t>
  </si>
  <si>
    <t xml:space="preserve">20mm Rotary Cannon</t>
  </si>
  <si>
    <t xml:space="preserve">5MW Laser</t>
  </si>
  <si>
    <t xml:space="preserve">Powerful tactical laser system capable of destroying targets with a debilitating blast of energy.</t>
  </si>
  <si>
    <t xml:space="preserve">KR-33 Agni</t>
  </si>
  <si>
    <t xml:space="preserve">The 25mmAutocannon fires dual purpose explosive shells, effective against aircraft or moderately armored surface targets.</t>
  </si>
  <si>
    <t xml:space="preserve">Même nom que d'autres canons 30 mm moddés (FS-41, NAVEX, OA-27, RAH-72, pack Aryx) mais valeurs propres au KR-33 ; description vide dans le jeu</t>
  </si>
  <si>
    <t xml:space="preserve">3S-RMM</t>
  </si>
  <si>
    <t xml:space="preserve">During a massive hangover the ground crews put the MMR-S3 on backwards.</t>
  </si>
  <si>
    <t xml:space="preserve">Contenu événementiel : l'arme pointe sur le prefab « AAM1 » du jeu (= MMR-S3, mêmes portées, vitesse cible, coût et masse) monté à l'envers ; la physique du missile (moteur, chercheur, facteur G) est reprise de la ligne MMR-S3</t>
  </si>
  <si>
    <t xml:space="preserve">SARAAM1 (AAM-21 Glaive)</t>
  </si>
  <si>
    <t xml:space="preserve">AAM-21 Glaive</t>
  </si>
  <si>
    <t xml:space="preserve">angle chercheur 40.0; tolérance brouillage 0.6</t>
  </si>
  <si>
    <t xml:space="preserve">3.4 × 0.4 × 0.4</t>
  </si>
  <si>
    <t xml:space="preserve">The AAM-21 Glaive is an older air-to-air missile that features a heavy warhead, a powerful motor for high speed, large fins for stability, and a Semi-Active radar seeker that alows the missile to change target mid-flight. Launching aircraft must keep the target selected and within their radar's cone, otherwise the missile will lose its lock and miss</t>
  </si>
  <si>
    <t xml:space="preserve">Arme créée par code au chargement (clone de l'AAM-29 Scythe) : valeurs lues dans les constantes de la DLL SARAAM1 1.1.3 (recoupées avec le code source du mod). Pénétration, palier, altitudes et vitesse cible sont hérités du Scythe. Le chercheur SARH exige que l'avion garde la cible sélectionnée dans le cône radar. Ajouté à tous les emplacements qui portent un Scythe</t>
  </si>
  <si>
    <t xml:space="preserve">Appareil</t>
  </si>
  <si>
    <t xml:space="preserve">Code</t>
  </si>
  <si>
    <t xml:space="preserve">Rang requis</t>
  </si>
  <si>
    <t xml:space="preserve">Coût (M$)</t>
  </si>
  <si>
    <t xml:space="preserve">Rôle : anti-surface (0 à 1)</t>
  </si>
  <si>
    <t xml:space="preserve">Rôle : anti-air (0 à 1)</t>
  </si>
  <si>
    <t xml:space="preserve">Rôle : anti-missile (0 à 1)</t>
  </si>
  <si>
    <t xml:space="preserve">Rôle : anti-radar (0 à 1)</t>
  </si>
  <si>
    <t xml:space="preserve">Motorisation</t>
  </si>
  <si>
    <t xml:space="preserve">Poussée totale des réacteurs (kN)</t>
  </si>
  <si>
    <t xml:space="preserve">Puissance totale des turbomoteurs (kW)</t>
  </si>
  <si>
    <t xml:space="preserve">Masse à vide (kg)</t>
  </si>
  <si>
    <t xml:space="preserve">Masse max. (kg)</t>
  </si>
  <si>
    <t xml:space="preserve">Carburant interne (kg)</t>
  </si>
  <si>
    <t xml:space="preserve">Vitesse max. (km/h)</t>
  </si>
  <si>
    <t xml:space="preserve">Vitesse de décrochage (km/h)</t>
  </si>
  <si>
    <t xml:space="preserve">Maniabilité (0 à 10)</t>
  </si>
  <si>
    <t xml:space="preserve">Décollage vertical</t>
  </si>
  <si>
    <t xml:space="preserve">Vitesse de décollage (m/s)</t>
  </si>
  <si>
    <t xml:space="preserve">Distance de décollage (m)</t>
  </si>
  <si>
    <t xml:space="preserve">Vitesse d'atterrissage (m/s)</t>
  </si>
  <si>
    <t xml:space="preserve">Vitesse de virage optimale (m/s)</t>
  </si>
  <si>
    <t xml:space="preserve">Emplacements d'armes (chargement type)</t>
  </si>
  <si>
    <t xml:space="preserve">Canons fixes (nombre)</t>
  </si>
  <si>
    <t xml:space="preserve">Portée radar embarqué (m)</t>
  </si>
  <si>
    <t xml:space="preserve">Brouilleur radar</t>
  </si>
  <si>
    <t xml:space="preserve">Leurres IR (nombre)</t>
  </si>
  <si>
    <t xml:space="preserve">Paillettes (nombre)</t>
  </si>
  <si>
    <t xml:space="preserve">Palier de blindage</t>
  </si>
  <si>
    <t xml:space="preserve">Signature radar (valeur jeu)</t>
  </si>
  <si>
    <t xml:space="preserve">CI-22 Cricket</t>
  </si>
  <si>
    <t xml:space="preserve">CI-22</t>
  </si>
  <si>
    <t xml:space="preserve">Avion à hélice (turbopropulseur)</t>
  </si>
  <si>
    <t xml:space="preserve">1× turbomoteur + 1× hélice à pas variable</t>
  </si>
  <si>
    <t xml:space="preserve">non</t>
  </si>
  <si>
    <t xml:space="preserve">10.4 × 11.6 × 3.4</t>
  </si>
  <si>
    <t xml:space="preserve">Designed for counter insurgency operations and low-intensity battlefields, the CI-22 Cricket features robust landing gear and short takeoff and landing capability, allowing it to operate from unprepared fields. While lacking in speed and survivability, the CI-22 possesses remarkable agility and the ability to mount an array of weapon types</t>
  </si>
  <si>
    <t xml:space="preserve">SAH-46 Chicane</t>
  </si>
  <si>
    <t xml:space="preserve">SAH-46</t>
  </si>
  <si>
    <t xml:space="preserve">Hélicoptère</t>
  </si>
  <si>
    <t xml:space="preserve">2× turbomoteur + 1× soufflante carénée</t>
  </si>
  <si>
    <t xml:space="preserve">oui</t>
  </si>
  <si>
    <t xml:space="preserve">16.6 × 7.4 × 4.1</t>
  </si>
  <si>
    <t xml:space="preserve">The SAH-46 Chicane retains a traditional attack helicopter configuation while incorporating upgrades that keep it a formidable presence on the battlefield of the late 21st Century. Cutting edge stealth technology allows the Chicane to conduct pop-up attacks from behind terrain and disappear from radar without a trace.</t>
  </si>
  <si>
    <t xml:space="preserve">T/A-30 Compass</t>
  </si>
  <si>
    <t xml:space="preserve">T/A-30</t>
  </si>
  <si>
    <t xml:space="preserve">Avion à réaction</t>
  </si>
  <si>
    <t xml:space="preserve">2× turboréacteur</t>
  </si>
  <si>
    <t xml:space="preserve">13.2 × 12.1 × 3.3</t>
  </si>
  <si>
    <t xml:space="preserve">An advanced jet trainer which is well suited for light combat duty, the T/A-30 is highly maneuverable at low to medium speeds and possesses forgiving flight characteristics. Particularly adept at low-altitude strike missions, the Compass features redundant control surfaces and twin engines to improve survivability. </t>
  </si>
  <si>
    <t xml:space="preserve">UH-90 Ibis</t>
  </si>
  <si>
    <t xml:space="preserve">UH-90</t>
  </si>
  <si>
    <t xml:space="preserve">2× soufflante carénée + 2× turbomoteur</t>
  </si>
  <si>
    <t xml:space="preserve">14.2 × 6.4 × 4.6</t>
  </si>
  <si>
    <t xml:space="preserve">Designed for a PALA fast vertical lift program in the 2050s, the UH-90 was conceptualized as a medium-sized compound utility helicopter, but has since been fitted with numerous weapon stations allowing it to occupy a gunship role. Featuring a coaxial rigid rotor system and two reversible turbine-electric ducted fans in pusher configuration, the Ibis can rapidly reach high cruising speeds before decelerating to a vertical landing in less than 30 seconds.</t>
  </si>
  <si>
    <t xml:space="preserve">VT-7 Vagrant</t>
  </si>
  <si>
    <t xml:space="preserve">VT-7</t>
  </si>
  <si>
    <t xml:space="preserve">Avion à décollage vertical (jets)</t>
  </si>
  <si>
    <t xml:space="preserve">1× système de jets d'attitude + 1× turbosoufflante</t>
  </si>
  <si>
    <t xml:space="preserve">13.4 × 9.8 × 3.8</t>
  </si>
  <si>
    <t xml:space="preserve">Featuring a unique 3-post ducted thrust system, this trainer doubles as an affordable attack aircraft with VTOL capability. The Vagrant is highly maneuverable and capable of transonic speeds, while also featuring a radar to allow engagement of air targets at beyond visual range. Although lacking advanced stealth features, the VT-7 continues to serve as the backbone of BDF naval aviation.</t>
  </si>
  <si>
    <t xml:space="preserve">A-19 Brawler</t>
  </si>
  <si>
    <t xml:space="preserve">A-19</t>
  </si>
  <si>
    <t xml:space="preserve">2× turbomoteur + 2× hélice</t>
  </si>
  <si>
    <t xml:space="preserve">18 × 19 × 3.5</t>
  </si>
  <si>
    <t xml:space="preserve">The Brawler is a reliable and rugged platform built to carry large quantities of precision weapons. Advanced propfan engines combine endurance with respectable speed, while redundant control surfaces, isolated engines, and heavy cockpit armor provide excellent survivability. The A-19 is in its element when attacking convoys of vehicles, distributed short-range air defenses, or vessels operating in coastal waters.</t>
  </si>
  <si>
    <t xml:space="preserve">VL-49 Tarantula</t>
  </si>
  <si>
    <t xml:space="preserve">VL-49</t>
  </si>
  <si>
    <t xml:space="preserve">Convertible à rotors basculants</t>
  </si>
  <si>
    <t xml:space="preserve">4× turbomoteur + 4× hélice à pas variable</t>
  </si>
  <si>
    <t xml:space="preserve">28.5 × 22.7 × 6.1</t>
  </si>
  <si>
    <t xml:space="preserve">Combining vertical lift capability with a 20 ton cargo capacity, this large quad tiltwing can deliver crucial supplies to forward positions or serve as a versatile gunship. Its 4 proprotors are linked by internal driveshafts, allowing the Tarantula to continue flying after absorbing significant damage. </t>
  </si>
  <si>
    <t xml:space="preserve">FS-12 Revoker</t>
  </si>
  <si>
    <t xml:space="preserve">FS-12</t>
  </si>
  <si>
    <t xml:space="preserve">1× turboréacteur</t>
  </si>
  <si>
    <t xml:space="preserve">15.8 × 11 × 5.2</t>
  </si>
  <si>
    <t xml:space="preserve">The FS-12 Revoker is built for agility above all else, capable of extreme maneuvers at almost any speed. Internal weapon bays help reduce drag, allowing supersonic speeds even at low altitudes and with heavy payloads. While less stealthy than newer fighters, the Revoker remains a cost-effective means of establishing air superiority.</t>
  </si>
  <si>
    <t xml:space="preserve">FS-20 Vortex</t>
  </si>
  <si>
    <t xml:space="preserve">FS-20</t>
  </si>
  <si>
    <t xml:space="preserve">14.1 × 9.3 × 3.1</t>
  </si>
  <si>
    <t xml:space="preserve">A compact and advanced multirole fighter, the Vortex is capable of operating vertically from small carriers and remaining undetected thanks to outstanding stealth characteristics. While fast, agile, and stealthy when lightly loaded, these characteristics can suffer when carrying a heavy payload of weapons.</t>
  </si>
  <si>
    <t xml:space="preserve">EW-25 Medusa</t>
  </si>
  <si>
    <t xml:space="preserve">EW-25</t>
  </si>
  <si>
    <t xml:space="preserve">19.2 × 18.1 × 4.5</t>
  </si>
  <si>
    <t xml:space="preserve">The EW-25 is a short take-off, vertical landing (STOVL) support aircraft with a variety of powerful electronic warfare systems. Able to triangulate radar positions, jam enemy radar installations, suppress air defences, and even shoot down missiles with a high energy laser, a single Medusa can easily turn the tide of a battle.</t>
  </si>
  <si>
    <t xml:space="preserve">KR-67 Ifrit</t>
  </si>
  <si>
    <t xml:space="preserve">KR-67</t>
  </si>
  <si>
    <t xml:space="preserve">19 × 14.3 × 4.6</t>
  </si>
  <si>
    <t xml:space="preserve">A large, carrier capable, twin engine multirole fighter, the Ifrit is equally suited to air superiority and ground attack missions. It features excellent thrust and maneuverability alongside reduced radar signature and powerful sensors. Two internal weapon bays plus two additional side bays for heat-seeking missiles allow the Ifrit to carry a significant internal payload without impacting stealth or top speed.</t>
  </si>
  <si>
    <t xml:space="preserve">SFB-81 Darkreach</t>
  </si>
  <si>
    <t xml:space="preserve">SFB-81</t>
  </si>
  <si>
    <t xml:space="preserve">2× turbosoufflante</t>
  </si>
  <si>
    <t xml:space="preserve">27.4 × 36.5 × 4.0</t>
  </si>
  <si>
    <t xml:space="preserve">Featuring powerful engines, a stealthy silhouette, and 4 large internal weapon bays, the SFB-81 Darkreach is a formidable bomber capable of deploying both conventional and nuclear weapons. Its blended wing design allows the Darkreach to conduct operations in a variety of flight regimes, from low-altitude penetrating strikes to standoff strategic bombardment.</t>
  </si>
  <si>
    <t xml:space="preserve">???</t>
  </si>
  <si>
    <t xml:space="preserve">OVNI (répulsion)</t>
  </si>
  <si>
    <t xml:space="preserve">1× turboréacteur + 1× répulseur</t>
  </si>
  <si>
    <t xml:space="preserve">13.6 × 13.6 × 3.5</t>
  </si>
  <si>
    <t xml:space="preserve">Contenu événementiel : nom affiché « ??? » dans le jeu (clé interne « UFO »)</t>
  </si>
  <si>
    <t xml:space="preserve">Alkyon AB-4</t>
  </si>
  <si>
    <t xml:space="preserve">AB-4</t>
  </si>
  <si>
    <t xml:space="preserve">Avion à réaction à ailes à géométrie variable</t>
  </si>
  <si>
    <t xml:space="preserve">4× turbosoufflante</t>
  </si>
  <si>
    <t xml:space="preserve">24.9 × 31.6 × 4.4</t>
  </si>
  <si>
    <t xml:space="preserve">The Alkyon AB-4 is an advanced supersonic bomber with electronic warfare capabilities, designed to stealthily deliver nuclear or conventional payloads onto high value targets. 4 afterburning engines combined with variable geometry wings provide incredible top speed and enough maneuverability to evade aerial threats. If critically damaged, a crew escape capsule allows for safe ejection at any altitude or airspeed. </t>
  </si>
  <si>
    <t xml:space="preserve">MiG-15</t>
  </si>
  <si>
    <t xml:space="preserve">10.1 × 10 × 3.7</t>
  </si>
  <si>
    <t xml:space="preserve">MiG-15s in the big '85 :wilt: :sob:</t>
  </si>
  <si>
    <t xml:space="preserve">OA-27 Cavalier</t>
  </si>
  <si>
    <t xml:space="preserve">OA-27</t>
  </si>
  <si>
    <t xml:space="preserve">1× hélice à pas variable + 1× turbomoteur</t>
  </si>
  <si>
    <t xml:space="preserve">11.6 × 11.5 × 4.1</t>
  </si>
  <si>
    <t xml:space="preserve">The Hartnell-Wesley OA-27 Cavalier is a lightweight trainer, attack and counterinsurgency aircraft in service with the Primevan State and PALAAF. Conceived before the revolution in one of the Primevan microstates, the Cavalier is the aircraft of choice for low intensity attack operations, border skirmishes and intermediate pilot training. It is reliable, rugged, and remarkably inexpensive to procure and maintain.</t>
  </si>
  <si>
    <t xml:space="preserve">Masse à vide non renseignée dans la fiche du jeu</t>
  </si>
  <si>
    <t xml:space="preserve">RAH-72 Knockout</t>
  </si>
  <si>
    <t xml:space="preserve">RAH-72</t>
  </si>
  <si>
    <t xml:space="preserve">2× turbomoteur</t>
  </si>
  <si>
    <t xml:space="preserve">13.5 × 5.5 × 4.2</t>
  </si>
  <si>
    <t xml:space="preserve">The RAH-72 is a recon and light attack helicopter. Capable of mounting decent numbers of lighter munitions, it is a single-seater, twin-turbine coaxial rotor design with a V-tail empennage, internal weapon bays underneath and four external pylons on stub wings tipped with its flare launchers. It implements low observability facet shaping, excellent optical sensors and mounts a large ground-scanning radar triangulator atop its rotor mast for detecting ground units and ships at long range. </t>
  </si>
  <si>
    <t xml:space="preserve">F-99 Shrike</t>
  </si>
  <si>
    <t xml:space="preserve">F-99</t>
  </si>
  <si>
    <t xml:space="preserve">13.5 × 8.4 × 2.8</t>
  </si>
  <si>
    <t xml:space="preserve">Although an older design, this light supersonic fighter is exceptionally agile and highly suited to air superiority missions with options for limited low-level ground attack. Twin engines provide an incredible TWR and top speed whilst a centreline internal weapon bay reduces payload drag.</t>
  </si>
  <si>
    <t xml:space="preserve">F-16M King Viper</t>
  </si>
  <si>
    <t xml:space="preserve">F-16M</t>
  </si>
  <si>
    <t xml:space="preserve">16.2 × 10.6 × 5</t>
  </si>
  <si>
    <t xml:space="preserve">Although over 100 years old, the F-16 remains a mainstay in air forces worldwide, with the latest Block 165 variants in service with both the BDAF and PALAAF. Upgrade packages and competitive lobbying have kept it in the game; The Viper truly is eternal.</t>
  </si>
  <si>
    <t xml:space="preserve">Vitesse max. = valeur déclarée par le mod (très supérieure au jeu de base)</t>
  </si>
  <si>
    <t xml:space="preserve">KR-33</t>
  </si>
  <si>
    <t xml:space="preserve">16.8 × 12.8 × 3.25</t>
  </si>
  <si>
    <t xml:space="preserve">An older but proven design dating back to the Primevan revolution. The Agni is a single engine all-weather fighter featuring a large array of hardpoints for flexibility. Without any internal weapon bays the aircraft is easier to detect than more modern designs.</t>
  </si>
  <si>
    <t xml:space="preserve">Embarque aussi une arme événementielle (3S-RMM, ex-MMR-S3 montée à l'envers)</t>
  </si>
  <si>
    <t xml:space="preserve">F-117A Nighthawk (blacknight2u)</t>
  </si>
  <si>
    <t xml:space="preserve">F-117A Nighthawk</t>
  </si>
  <si>
    <t xml:space="preserve">F-117A</t>
  </si>
  <si>
    <t xml:space="preserve">20.1 × 13.2 × 3.8</t>
  </si>
  <si>
    <t xml:space="preserve">A high-subsonic, extreme-low-observable strike aircraft with two non-afterburning F404 engines, digital fly-by-wire control, electro-optical targeting, and two internal weapon bays. A broad set of compatible bomb and missile loadouts is available for varied play. Closed internal stores remain radar-shielded; opening a weapon bay or lowering the landing gear increases radar signature. A fixed active radar jammer is installed on every loadout: select it as a weapon, designate a tracked radar target, and hold fire to jam. Holding wheel brake during a valid landing roll deploys the one-use drag chute after all three wheels settle and the aircraft is aligned with its travel.</t>
  </si>
  <si>
    <t xml:space="preserve">Moteurs sans postcombustion ; armes = celles du jeu de base ; deux soutes internes</t>
  </si>
  <si>
    <t xml:space="preserve">FS-3</t>
  </si>
  <si>
    <t xml:space="preserve">24.3 × 14.6 × 5.8</t>
  </si>
  <si>
    <t xml:space="preserve">Conceived at the turn of the century, the FS-3 Ternion is a large, twin-engine multirole fighter. Initially developed for long-endurance patrols over the Pacific, it was later adapted to meet expanding operational demands. Despite lacking stealth characteristics, frequent upgrade packages have allowed the Ternion to continue serving as a reliable defender of the Heartland.</t>
  </si>
  <si>
    <t xml:space="preserve">MC-260 Chimera</t>
  </si>
  <si>
    <t xml:space="preserve">MC-260</t>
  </si>
  <si>
    <t xml:space="preserve">34.6 × 40.2 × 5.5</t>
  </si>
  <si>
    <t xml:space="preserve">Aryx Dynamics' largest aircraft so far, the MC-260 Chimera is a versatile heavy cargo aircraft designed for rugged heavy multirole austere operations in frontline areas. It offers short takeoff and landing performance at low load thanks to its blown wing configuration and thrust reversers, and fits in existing medium hangars due to its unique split-drag rudder and ventral strake setup. Chimera can operate as a gunship, a bomber, an AEW and a cargo transport. </t>
  </si>
  <si>
    <t xml:space="preserve">Aryx F-22E</t>
  </si>
  <si>
    <t xml:space="preserve">F-22E Strike Raptor</t>
  </si>
  <si>
    <t xml:space="preserve">F-22E</t>
  </si>
  <si>
    <t xml:space="preserve">18.9 × 13.6 × 5.1</t>
  </si>
  <si>
    <t xml:space="preserve">Proposed in the late 2040s as an upgrade and overhaul package for the export-model F-22C in the midst of the Third World War, the F-22E Strike Raptor takes the familiar F-22 aeroform and introduces a pair of midfuselage-chine EOTS for guiding precision-guided munitions, as well as a deepened and expanded weapon bay for carriage of large volumes of ordinance. Excellent agility, thrust vectoring, able to equip stealth weapon pods on its inner wing pylons, and now well-capable of ground attack as well as air dominance, the F-22E is just as fierce as its original design was half a century prior.</t>
  </si>
  <si>
    <t xml:space="preserve">Masse à vide non renseignée dans la fiche du jeu ; Vitesse max. = valeur déclarée par le mod (très supérieure au jeu de base)</t>
  </si>
  <si>
    <t xml:space="preserve">FS-41 Eclipse</t>
  </si>
  <si>
    <t xml:space="preserve">FS-41</t>
  </si>
  <si>
    <t xml:space="preserve">18.4 × 17.6 × 3.8</t>
  </si>
  <si>
    <t xml:space="preserve">The FS-41 Eclipse is a large twin-engine supersonic carrier-based interceptor aircraft designed to locate, intercept and destroy high value targets before they can threaten allied airspace and carrier groups. It combines mach 2+ speeds, an extraordinarily powerful radar and impressive stealth characteristics for its role of interception and oppression, bolstered by its signature AAM-45 Sabre armament. It is additionally highly agile thanks to its variable geometry wings and can carry limited air to ground stores for multi-mission capability.</t>
  </si>
  <si>
    <t xml:space="preserve">Portée d'emport/largage (m)</t>
  </si>
  <si>
    <t xml:space="preserve">AFV6 AA</t>
  </si>
  <si>
    <t xml:space="preserve">Cargaison / véhicule / élingue</t>
  </si>
  <si>
    <t xml:space="preserve">cargo</t>
  </si>
  <si>
    <t xml:space="preserve">The AFV6 is a fast, lightweight multipurpose armoured vehicle. This is a short range air-defence variant, with a potent 20mm rotary cannon and an IRM-S1 launcher.</t>
  </si>
  <si>
    <t xml:space="preserve">AFV6 APC</t>
  </si>
  <si>
    <t xml:space="preserve">The AFV6 is a fast, lightweight multipurpose armoured vehicle. This is the default variant, an armoured personnel carrier. The increased seating capacity allows it to capture locations faster than other variants.</t>
  </si>
  <si>
    <t xml:space="preserve">AFV6 AT</t>
  </si>
  <si>
    <t xml:space="preserve">The AFV6 is a fast, lightweight multipurpose armoured vehicle. This is an anti-armour variant, equipped with a large, long range multiple ATGM launcher. Internal stores of extra missiles reduce seating capacity substantially.</t>
  </si>
  <si>
    <t xml:space="preserve">AFV6 IFV</t>
  </si>
  <si>
    <t xml:space="preserve">The AFV6 is a fast, lightweight multipurpose armoured vehicle. This variant is an infantry fighting vehicle with a 25mm cannon.</t>
  </si>
  <si>
    <t xml:space="preserve">Cargo Hook</t>
  </si>
  <si>
    <t xml:space="preserve">sling</t>
  </si>
  <si>
    <t xml:space="preserve">A cargo hook with a 20m (65ft) line for slinging external loads and recovering downed pilots.</t>
  </si>
  <si>
    <t xml:space="preserve">Fuel Container 1500L</t>
  </si>
  <si>
    <t xml:space="preserve">A single use, air transportable 1500L fuel bladder that can be deployed at Forward Operation Bases.</t>
  </si>
  <si>
    <t xml:space="preserve">Fuel Container 6000L</t>
  </si>
  <si>
    <t xml:space="preserve">An air transportable 6000L fuel tank that can be deployed at Forward Operation Bases.</t>
  </si>
  <si>
    <t xml:space="preserve">Fuel Container 10,000L</t>
  </si>
  <si>
    <t xml:space="preserve">An air transportable 10,000L fuel tank that can be deployed at Forward Operation Bases.</t>
  </si>
  <si>
    <t xml:space="preserve">HLT Radar Truck</t>
  </si>
  <si>
    <t xml:space="preserve">Capable of tracking multiple aerial units at ranges of up to 40km</t>
  </si>
  <si>
    <t xml:space="preserve">LCV25 AT</t>
  </si>
  <si>
    <t xml:space="preserve">The LCV25 is a 4x4 all terrain vehicle, offered in AA or AT configurations, combining the agility of a light recon vehicle with the firepower of heavier fighting vehicles. It is air transportable, with 2 units fitting inside the cargo bay of a VL-49 Tarantula.</t>
  </si>
  <si>
    <t xml:space="preserve">LCV25 SAM</t>
  </si>
  <si>
    <t xml:space="preserve">Munitions Container</t>
  </si>
  <si>
    <t xml:space="preserve">A single 10-ton ammo container. When placed on the ground, allows weapon rearmament for units within 100m. Avoid subjecting the containers to large impact forces, as they may detonate.</t>
  </si>
  <si>
    <t xml:space="preserve">Munitions Pallet</t>
  </si>
  <si>
    <t xml:space="preserve">A 6-ton munitions pallet. When placed on the ground, allows continuous weapon rearmament for ground vehicles and aircraft within 100m. Avoid subjecting the containers to large impact forces, as they may detonate.</t>
  </si>
  <si>
    <t xml:space="preserve">Small Munitions Pallet</t>
  </si>
  <si>
    <t xml:space="preserve">A small pallet carrying 1.5 tons of munitions. When placed on the ground, allows rearmament of units within 100m. Volatile.</t>
  </si>
  <si>
    <t xml:space="preserve">Naval Supply Pallet</t>
  </si>
  <si>
    <t xml:space="preserve">A 6-ton munitions pallet for replenishing a warship's ammunition stores. Has floatation devices and can be picked up by ships within 200m after being placed in the water. Avoid subjecting the containers to large impact forces, as they may detonate.</t>
  </si>
  <si>
    <t xml:space="preserve">Naval Supply Container</t>
  </si>
  <si>
    <t xml:space="preserve">A single 10-ton container for replenishing a warship's ammunition stores. Has floatation devices and can be picked up by ships within 200m after being placed in the water. Avoid subjecting the containers to large impact forces, as they may detonate.</t>
  </si>
  <si>
    <t xml:space="preserve">Radar Container</t>
  </si>
  <si>
    <t xml:space="preserve">An air transportable radar container, that can provide guidance to with nearby SARH SAM launchers with a range of 17km.</t>
  </si>
  <si>
    <t xml:space="preserve">RAM45 Launcher</t>
  </si>
  <si>
    <t xml:space="preserve">A single RAM45 launcher turret.</t>
  </si>
  <si>
    <t xml:space="preserve">Infantry Squad</t>
  </si>
  <si>
    <t xml:space="preserve">troops</t>
  </si>
  <si>
    <t xml:space="preserve">Group of 8 troops which stay with the aircraft, providing the ability to capture buildings and airbases when landed nearby</t>
  </si>
  <si>
    <t xml:space="preserve">Hexhound GMG</t>
  </si>
  <si>
    <t xml:space="preserve">A Hexhound equipped with an automatic grenade launcher. The grenade launcher is able to rain indirect fire on datalink targets within 2km (1.2 miles).</t>
  </si>
  <si>
    <t xml:space="preserve">Hexhound SAM</t>
  </si>
  <si>
    <t xml:space="preserve">A Hexhound equipped with a four-shot IRM-S1 launcher. Its small profile makes it hard to detect, allowing it to ambush low flying air targets.</t>
  </si>
  <si>
    <t xml:space="preserve">M12 Jackknife</t>
  </si>
  <si>
    <t xml:space="preserve">A small, remote-controlled, air-transportable combat engineering unit designed for light role forces. Combat engineering units are able to facilitate the repair and reconstruction of hangars, helipads and vehicle depots.</t>
  </si>
  <si>
    <t xml:space="preserve">Forward Deployable Airpad</t>
  </si>
  <si>
    <t xml:space="preserve">A compact, probably non-euclidean deployable helipad for deployment and rearmament of rotary-wing aviation. Armed with IRM-S1 and 12.7mm machine gun turrets for self defence.</t>
  </si>
  <si>
    <t xml:space="preserve">RAM-45 SAM Turret</t>
  </si>
  <si>
    <t xml:space="preserve">An air-transportable RAM-45 SAM turret. Stows six missiles, can be resupplied by containers and deploys after landing. Requires a Radar (HLT-R or Radar Station) for targeting.</t>
  </si>
  <si>
    <t xml:space="preserve">Type-12 CEV</t>
  </si>
  <si>
    <t xml:space="preserve">The Type-12 CEV is a combat engineering vehicle built on an up-armoured Type-12 chassis. It operates at higher efficiency than the unmanned M12 Jackknife and sports a 12.7mm machine gun for self-defence.</t>
  </si>
  <si>
    <t xml:space="preserve">CVR-L Serval Recon</t>
  </si>
  <si>
    <t xml:space="preserve">The Combat Reconnaissance Vehicle (Light) / Serval is an 8-tonne armoured fighting vehicle designed for use as a scout and expeditionary warfare platform. The CRV-L offers high cross-country performance and high modularity for a variety of missions. The Recon variant is equipped with a 25mm autocannon for taking on medium armoured targets from flanks, and has excellent stealth &amp; optics.</t>
  </si>
  <si>
    <t xml:space="preserve">HLT Light Munitions</t>
  </si>
  <si>
    <t xml:space="preserve">Support vehicle with a slimmed down container for stowage in tactical airlifters, able to resupply other units</t>
  </si>
  <si>
    <t xml:space="preserve">SLMMR-A3 SAM Turret</t>
  </si>
  <si>
    <t xml:space="preserve">An air-transportable MMR-S3 SAM turret. Stows twelve missiles and unfolds once deployed. Fully autonomous fire control with a 10km range inbuilt IR tracker.</t>
  </si>
  <si>
    <t xml:space="preserve">FRCV-SPG</t>
  </si>
  <si>
    <t xml:space="preserve">An upfit of the Force Reconnaissance Combat Vehicle chassis, the FRCV-SPG forgoes its usual 105mm gun in exchange for a 152mm L/40 howitzer firing guided rounds. The rounds fired by this unit sport their own optical scanners and datalink their imagery back to the unit to spot enemy targets and confirm hits from safe distances. Like the HLT MART, the FRCV-SPG operates on a shoot-and-scoot profile and is air-deployable by the MC-260 Chimera</t>
  </si>
  <si>
    <t xml:space="preserve">35mm AA Gun Container</t>
  </si>
  <si>
    <t xml:space="preserve">An air-transportable, self-contained anti-air 35mm gun turret and optical tracking system. Fully self-sufficient once deployed with a range of 5km. For best results, pair with an ammo container to keep it topped up.</t>
  </si>
  <si>
    <t xml:space="preserve">FRCV-105 LT</t>
  </si>
  <si>
    <t xml:space="preserve">The Force Reconnaissance Combat Vehicle is a 27T deployable light tank and force-recon vehicle. Armed with a 105mm high velocity cannon and 12.7mm coaxial, the FRCV is designed to be deployed behind enemy lines to wreak havoc on supply lines, less protected airstrips and spot targets. </t>
  </si>
  <si>
    <t xml:space="preserve">CVR-L Serval Mortar</t>
  </si>
  <si>
    <t xml:space="preserve">The Combat Reconnaissance Vehicle (Light) / Serval is an 8-tonne armoured fighting vehicle designed for use as a scout and expeditionary warfare platform. The CRV-L offers high cross-country performance and high modularity for a variety of missions. This variant is equipped with a rapid-fire 81mm mortar for short to medium range light artillery.</t>
  </si>
  <si>
    <t xml:space="preserve">Type-12 MBT</t>
  </si>
  <si>
    <t xml:space="preserve">Formidable but dated MBT design, lighter weight allows for carriage within the Chimera. Warning: Does not have a parachute, must be dropped on or near ground level.</t>
  </si>
  <si>
    <t xml:space="preserve">Large Munitions Container</t>
  </si>
  <si>
    <t xml:space="preserve">A single, and rather large, 50-ton ammo container. When placed on the ground, allows weapon rearmament for units within 200m. Avoid subjecting the containers to large impact forces, as they may detonate.</t>
  </si>
  <si>
    <t xml:space="preserve">R9 StratoLance SAM Launcher</t>
  </si>
  <si>
    <t xml:space="preserve">An air-transportable R-9 StratoLance launcher, tailored specifically for the cargo bay of the MC-260 Chimera. Links to nearby Radars and Fire Control systems to lock down large areas of airspace.</t>
  </si>
  <si>
    <t xml:space="preserve">Fire Control Cabin</t>
  </si>
  <si>
    <t xml:space="preserve">An air-deployable Fire Control system for improving the targeting of air defence batteries.</t>
  </si>
</sst>
</file>

<file path=xl/styles.xml><?xml version="1.0" encoding="utf-8"?>
<styleSheet xmlns="http://schemas.openxmlformats.org/spreadsheetml/2006/main">
  <numFmts count="4">
    <numFmt numFmtId="164" formatCode="General"/>
    <numFmt numFmtId="165" formatCode="#,##0.0"/>
    <numFmt numFmtId="166" formatCode="0.0"/>
    <numFmt numFmtId="167" formatCode="0.0E+00"/>
  </numFmts>
  <fonts count="9">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sz val="10"/>
      <name val="Arial"/>
      <family val="0"/>
      <charset val="1"/>
    </font>
    <font>
      <b val="true"/>
      <sz val="10"/>
      <name val="Arial"/>
      <family val="0"/>
      <charset val="1"/>
    </font>
    <font>
      <b val="true"/>
      <sz val="10"/>
      <color rgb="FFFFFFFF"/>
      <name val="Arial"/>
      <family val="0"/>
      <charset val="1"/>
    </font>
    <font>
      <sz val="10"/>
      <name val="Arial"/>
      <family val="2"/>
    </font>
  </fonts>
  <fills count="3">
    <fill>
      <patternFill patternType="none"/>
    </fill>
    <fill>
      <patternFill patternType="gray125"/>
    </fill>
    <fill>
      <patternFill patternType="solid">
        <fgColor rgb="FF1F3864"/>
        <bgColor rgb="FF333333"/>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5" fontId="5" fillId="0" borderId="0" xfId="0" applyFont="true" applyBorder="false" applyAlignment="true" applyProtection="false">
      <alignment horizontal="center" vertical="top" textRotation="0" wrapText="false" indent="0" shrinkToFit="false"/>
      <protection locked="true" hidden="false"/>
    </xf>
    <xf numFmtId="166" fontId="5" fillId="0" borderId="0" xfId="0" applyFont="true" applyBorder="false" applyAlignment="true" applyProtection="false">
      <alignment horizontal="center" vertical="top" textRotation="0" wrapText="false" indent="0" shrinkToFit="false"/>
      <protection locked="true" hidden="false"/>
    </xf>
    <xf numFmtId="167" fontId="5" fillId="0" borderId="0" xfId="0" applyFont="true" applyBorder="fals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484375" defaultRowHeight="15" zeroHeight="false" outlineLevelRow="0" outlineLevelCol="0"/>
  <cols>
    <col collapsed="false" customWidth="true" hidden="false" outlineLevel="0" max="1" min="1" style="1" width="140"/>
  </cols>
  <sheetData>
    <row r="1" customFormat="false" ht="15.75" hidden="false" customHeight="true" outlineLevel="0" collapsed="false">
      <c r="A1" s="2" t="s">
        <v>0</v>
      </c>
    </row>
    <row r="2" customFormat="false" ht="15" hidden="false" customHeight="true" outlineLevel="0" collapsed="false">
      <c r="A2" s="3"/>
    </row>
    <row r="3" customFormat="false" ht="15" hidden="false" customHeight="true" outlineLevel="0" collapsed="false">
      <c r="A3" s="4" t="s">
        <v>1</v>
      </c>
    </row>
    <row r="4" customFormat="false" ht="25.5" hidden="false" customHeight="true" outlineLevel="0" collapsed="false">
      <c r="A4" s="3" t="s">
        <v>2</v>
      </c>
    </row>
    <row r="5" customFormat="false" ht="63.75" hidden="false" customHeight="true" outlineLevel="0" collapsed="false">
      <c r="A5" s="3" t="s">
        <v>3</v>
      </c>
    </row>
    <row r="6" customFormat="false" ht="25.5" hidden="false" customHeight="true" outlineLevel="0" collapsed="false">
      <c r="A6" s="3" t="s">
        <v>4</v>
      </c>
    </row>
    <row r="7" customFormat="false" ht="15" hidden="false" customHeight="true" outlineLevel="0" collapsed="false">
      <c r="A7" s="3"/>
    </row>
    <row r="8" customFormat="false" ht="15" hidden="false" customHeight="true" outlineLevel="0" collapsed="false">
      <c r="A8" s="4" t="s">
        <v>5</v>
      </c>
    </row>
    <row r="9" customFormat="false" ht="25.5" hidden="false" customHeight="true" outlineLevel="0" collapsed="false">
      <c r="A9" s="3" t="s">
        <v>6</v>
      </c>
    </row>
    <row r="10" customFormat="false" ht="25.5" hidden="false" customHeight="true" outlineLevel="0" collapsed="false">
      <c r="A10" s="3" t="s">
        <v>7</v>
      </c>
    </row>
    <row r="11" customFormat="false" ht="25.5" hidden="false" customHeight="true" outlineLevel="0" collapsed="false">
      <c r="A11" s="3" t="s">
        <v>8</v>
      </c>
    </row>
    <row r="12" customFormat="false" ht="25.5" hidden="false" customHeight="true" outlineLevel="0" collapsed="false">
      <c r="A12" s="3" t="s">
        <v>9</v>
      </c>
    </row>
    <row r="13" customFormat="false" ht="25.5" hidden="false" customHeight="true" outlineLevel="0" collapsed="false">
      <c r="A13" s="3" t="s">
        <v>10</v>
      </c>
    </row>
    <row r="14" customFormat="false" ht="89.25" hidden="false" customHeight="true" outlineLevel="0" collapsed="false">
      <c r="A14" s="3" t="s">
        <v>11</v>
      </c>
    </row>
    <row r="15" customFormat="false" ht="15" hidden="false" customHeight="true" outlineLevel="0" collapsed="false">
      <c r="A15" s="3"/>
    </row>
    <row r="16" customFormat="false" ht="15" hidden="false" customHeight="true" outlineLevel="0" collapsed="false">
      <c r="A16" s="4" t="s">
        <v>12</v>
      </c>
    </row>
    <row r="17" customFormat="false" ht="25.5" hidden="false" customHeight="true" outlineLevel="0" collapsed="false">
      <c r="A17" s="3" t="s">
        <v>13</v>
      </c>
    </row>
    <row r="18" customFormat="false" ht="25.5" hidden="false" customHeight="true" outlineLevel="0" collapsed="false">
      <c r="A18" s="3" t="s">
        <v>14</v>
      </c>
    </row>
    <row r="19" customFormat="false" ht="25.5" hidden="false" customHeight="true" outlineLevel="0" collapsed="false">
      <c r="A19" s="3" t="s">
        <v>15</v>
      </c>
    </row>
    <row r="20" customFormat="false" ht="25.5" hidden="false" customHeight="true" outlineLevel="0" collapsed="false">
      <c r="A20" s="3" t="s">
        <v>16</v>
      </c>
    </row>
    <row r="21" customFormat="false" ht="25.5" hidden="false" customHeight="true" outlineLevel="0" collapsed="false">
      <c r="A21" s="3" t="s">
        <v>17</v>
      </c>
    </row>
    <row r="22" customFormat="false" ht="15" hidden="false" customHeight="true" outlineLevel="0" collapsed="false">
      <c r="A22" s="3"/>
    </row>
    <row r="23" customFormat="false" ht="25.5" hidden="false" customHeight="true" outlineLevel="0" collapsed="false">
      <c r="A23" s="3" t="s">
        <v>18</v>
      </c>
    </row>
    <row r="24" customFormat="false" ht="94.5" hidden="false" customHeight="true" outlineLevel="0" collapsed="false">
      <c r="A24" s="3" t="s">
        <v>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pageSetUpPr fitToPage="false"/>
  </sheetPr>
  <dimension ref="A1:AJ14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L124" activeCellId="0" sqref="L124"/>
    </sheetView>
  </sheetViews>
  <sheetFormatPr defaultColWidth="9.1484375" defaultRowHeight="15" zeroHeight="false" outlineLevelRow="0" outlineLevelCol="0"/>
  <cols>
    <col collapsed="false" customWidth="true" hidden="false" outlineLevel="0" max="1" min="1" style="1" width="14"/>
    <col collapsed="false" customWidth="true" hidden="false" outlineLevel="0" max="2" min="2" style="1" width="26"/>
    <col collapsed="false" customWidth="true" hidden="false" outlineLevel="0" max="3" min="3" style="1" width="22"/>
    <col collapsed="false" customWidth="true" hidden="false" outlineLevel="0" max="4" min="4" style="1" width="24"/>
    <col collapsed="false" customWidth="true" hidden="false" outlineLevel="0" max="5" min="5" style="1" width="40"/>
    <col collapsed="false" customWidth="true" hidden="false" outlineLevel="0" max="6" min="6" style="1" width="34"/>
    <col collapsed="false" customWidth="true" hidden="false" outlineLevel="0" max="7" min="7" style="1" width="14"/>
    <col collapsed="false" customWidth="true" hidden="false" outlineLevel="0" max="8" min="8" style="1" width="13"/>
    <col collapsed="false" customWidth="true" hidden="false" outlineLevel="0" max="10" min="10" style="1" width="11"/>
    <col collapsed="false" customWidth="true" hidden="false" outlineLevel="0" max="11" min="11" style="1" width="18"/>
    <col collapsed="false" customWidth="true" hidden="false" outlineLevel="0" max="12" min="12" style="1" width="13"/>
    <col collapsed="false" customWidth="true" hidden="false" outlineLevel="0" max="14" min="14" style="1" width="12"/>
    <col collapsed="false" customWidth="true" hidden="false" outlineLevel="0" max="15" min="15" style="1" width="11"/>
    <col collapsed="false" customWidth="true" hidden="false" outlineLevel="0" max="17" min="17" style="1" width="14"/>
    <col collapsed="false" customWidth="true" hidden="false" outlineLevel="0" max="18" min="18" style="1" width="13"/>
    <col collapsed="false" customWidth="true" hidden="false" outlineLevel="0" max="19" min="19" style="1" width="10"/>
    <col collapsed="false" customWidth="true" hidden="false" outlineLevel="0" max="20" min="20" style="1" width="11"/>
    <col collapsed="false" customWidth="true" hidden="false" outlineLevel="0" max="21" min="21" style="1" width="10"/>
    <col collapsed="false" customWidth="true" hidden="false" outlineLevel="0" max="23" min="23" style="1" width="11"/>
    <col collapsed="false" customWidth="true" hidden="false" outlineLevel="0" max="25" min="25" style="1" width="9"/>
    <col collapsed="false" customWidth="true" hidden="false" outlineLevel="0" max="28" min="28" style="1" width="10"/>
    <col collapsed="false" customWidth="true" hidden="false" outlineLevel="0" max="30" min="30" style="1" width="9"/>
    <col collapsed="false" customWidth="true" hidden="false" outlineLevel="0" max="31" min="31" style="1" width="12"/>
    <col collapsed="false" customWidth="true" hidden="false" outlineLevel="0" max="32" min="32" style="1" width="16"/>
    <col collapsed="false" customWidth="true" hidden="false" outlineLevel="0" max="33" min="33" style="1" width="26"/>
    <col collapsed="false" customWidth="true" hidden="false" outlineLevel="0" max="34" min="34" style="1" width="22"/>
    <col collapsed="false" customWidth="true" hidden="false" outlineLevel="0" max="35" min="35" style="1" width="60"/>
    <col collapsed="false" customWidth="true" hidden="false" outlineLevel="0" max="36" min="36" style="1" width="50"/>
  </cols>
  <sheetData>
    <row r="1" customFormat="false" ht="48" hidden="false" customHeight="true" outlineLevel="0" collapsed="false">
      <c r="A1" s="5" t="s">
        <v>20</v>
      </c>
      <c r="B1" s="5" t="s">
        <v>21</v>
      </c>
      <c r="C1" s="5" t="s">
        <v>22</v>
      </c>
      <c r="D1" s="5" t="s">
        <v>23</v>
      </c>
      <c r="E1" s="5" t="s">
        <v>24</v>
      </c>
      <c r="F1" s="5" t="s">
        <v>25</v>
      </c>
      <c r="G1" s="5" t="s">
        <v>26</v>
      </c>
      <c r="H1" s="5" t="s">
        <v>27</v>
      </c>
      <c r="I1" s="5" t="s">
        <v>28</v>
      </c>
      <c r="J1" s="5" t="s">
        <v>29</v>
      </c>
      <c r="K1" s="5" t="s">
        <v>30</v>
      </c>
      <c r="L1" s="5" t="s">
        <v>31</v>
      </c>
      <c r="M1" s="5" t="s">
        <v>32</v>
      </c>
      <c r="N1" s="5" t="s">
        <v>33</v>
      </c>
      <c r="O1" s="5" t="s">
        <v>34</v>
      </c>
      <c r="P1" s="5" t="s">
        <v>35</v>
      </c>
      <c r="Q1" s="5" t="s">
        <v>36</v>
      </c>
      <c r="R1" s="5" t="s">
        <v>37</v>
      </c>
      <c r="S1" s="5" t="s">
        <v>38</v>
      </c>
      <c r="T1" s="5" t="s">
        <v>39</v>
      </c>
      <c r="U1" s="5" t="s">
        <v>40</v>
      </c>
      <c r="V1" s="5" t="s">
        <v>41</v>
      </c>
      <c r="W1" s="5" t="s">
        <v>42</v>
      </c>
      <c r="X1" s="5" t="s">
        <v>43</v>
      </c>
      <c r="Y1" s="5" t="s">
        <v>44</v>
      </c>
      <c r="Z1" s="5" t="s">
        <v>45</v>
      </c>
      <c r="AA1" s="5" t="s">
        <v>46</v>
      </c>
      <c r="AB1" s="5" t="s">
        <v>47</v>
      </c>
      <c r="AC1" s="5" t="s">
        <v>48</v>
      </c>
      <c r="AD1" s="5" t="s">
        <v>49</v>
      </c>
      <c r="AE1" s="5" t="s">
        <v>50</v>
      </c>
      <c r="AF1" s="5" t="s">
        <v>51</v>
      </c>
      <c r="AG1" s="5" t="s">
        <v>52</v>
      </c>
      <c r="AH1" s="5" t="s">
        <v>53</v>
      </c>
      <c r="AI1" s="5" t="s">
        <v>54</v>
      </c>
      <c r="AJ1" s="5" t="s">
        <v>55</v>
      </c>
    </row>
    <row r="2" customFormat="false" ht="25.5" hidden="true" customHeight="true" outlineLevel="0" collapsed="false">
      <c r="A2" s="6" t="s">
        <v>56</v>
      </c>
      <c r="B2" s="6" t="s">
        <v>57</v>
      </c>
      <c r="C2" s="6" t="s">
        <v>58</v>
      </c>
      <c r="D2" s="6" t="s">
        <v>59</v>
      </c>
      <c r="E2" s="6" t="s">
        <v>60</v>
      </c>
      <c r="F2" s="3" t="s">
        <v>61</v>
      </c>
      <c r="G2" s="6" t="n">
        <v>2</v>
      </c>
      <c r="H2" s="6" t="n">
        <v>1500</v>
      </c>
      <c r="I2" s="6" t="n">
        <v>6</v>
      </c>
      <c r="J2" s="6" t="n">
        <v>10</v>
      </c>
      <c r="K2" s="6" t="s">
        <v>62</v>
      </c>
      <c r="L2" s="6" t="n">
        <v>100</v>
      </c>
      <c r="M2" s="6" t="n">
        <v>597.88</v>
      </c>
      <c r="N2" s="6" t="n">
        <v>31000</v>
      </c>
      <c r="O2" s="6" t="n">
        <v>15</v>
      </c>
      <c r="P2" s="6" t="n">
        <v>3</v>
      </c>
      <c r="Q2" s="7" t="n">
        <f aca="false">IF(AND(ISNUMBER(N2),ISNUMBER(J2),ISNUMBER(O2)),IF(AND(N2&gt;0,J2&gt;0,O2&gt;0),N2/J2*O2,"N/A"),"N/A")</f>
        <v>46500</v>
      </c>
      <c r="R2" s="8" t="n">
        <f aca="false">IF(ISNUMBER(Q2),ROUND(1+9*PERCENTRANK($Q$2:$Q$140,Q2),1),"N/A")</f>
        <v>10</v>
      </c>
      <c r="S2" s="6"/>
      <c r="T2" s="6" t="n">
        <v>7000</v>
      </c>
      <c r="U2" s="6"/>
      <c r="V2" s="6" t="n">
        <v>10000</v>
      </c>
      <c r="W2" s="6" t="n">
        <v>10000</v>
      </c>
      <c r="X2" s="6"/>
      <c r="Y2" s="6"/>
      <c r="Z2" s="6"/>
      <c r="AA2" s="6"/>
      <c r="AB2" s="6"/>
      <c r="AC2" s="6"/>
      <c r="AD2" s="6"/>
      <c r="AE2" s="6" t="n">
        <v>0</v>
      </c>
      <c r="AF2" s="7" t="str">
        <f aca="false">IF(AND(ISNUMBER(G2),ISNUMBER(AE2)),IF(AE2&gt;0,G2/AE2,"N/A"),"N/A")</f>
        <v>N/A</v>
      </c>
      <c r="AG2" s="6"/>
      <c r="AH2" s="6" t="s">
        <v>63</v>
      </c>
      <c r="AI2" s="6" t="s">
        <v>64</v>
      </c>
      <c r="AJ2" s="3" t="s">
        <v>65</v>
      </c>
    </row>
    <row r="3" customFormat="false" ht="25.5" hidden="true" customHeight="true" outlineLevel="0" collapsed="false">
      <c r="A3" s="6" t="s">
        <v>56</v>
      </c>
      <c r="B3" s="6" t="s">
        <v>66</v>
      </c>
      <c r="C3" s="6" t="s">
        <v>58</v>
      </c>
      <c r="D3" s="6" t="s">
        <v>59</v>
      </c>
      <c r="E3" s="6" t="s">
        <v>67</v>
      </c>
      <c r="F3" s="3" t="s">
        <v>68</v>
      </c>
      <c r="G3" s="6" t="n">
        <v>15</v>
      </c>
      <c r="H3" s="6" t="n">
        <v>1200</v>
      </c>
      <c r="I3" s="6" t="n">
        <v>7</v>
      </c>
      <c r="J3" s="6" t="n">
        <v>25</v>
      </c>
      <c r="K3" s="6" t="s">
        <v>69</v>
      </c>
      <c r="L3" s="6"/>
      <c r="M3" s="6"/>
      <c r="N3" s="6"/>
      <c r="O3" s="6"/>
      <c r="P3" s="6"/>
      <c r="Q3" s="7" t="str">
        <f aca="false">IF(AND(ISNUMBER(N3),ISNUMBER(J3),ISNUMBER(O3)),IF(AND(N3&gt;0,J3&gt;0,O3&gt;0),N3/J3*O3,"N/A"),"N/A")</f>
        <v>N/A</v>
      </c>
      <c r="R3" s="8" t="str">
        <f aca="false">IF(ISNUMBER(Q3),ROUND(1+9*PERCENTRANK($Q$2:$Q$140,Q3),1),"N/A")</f>
        <v>N/A</v>
      </c>
      <c r="S3" s="6" t="n">
        <v>1000</v>
      </c>
      <c r="T3" s="6" t="n">
        <v>10000</v>
      </c>
      <c r="U3" s="6"/>
      <c r="V3" s="6" t="s">
        <v>70</v>
      </c>
      <c r="W3" s="6" t="n">
        <v>30</v>
      </c>
      <c r="X3" s="6"/>
      <c r="Y3" s="6"/>
      <c r="Z3" s="6"/>
      <c r="AA3" s="6"/>
      <c r="AB3" s="6"/>
      <c r="AC3" s="6"/>
      <c r="AD3" s="6"/>
      <c r="AE3" s="6" t="n">
        <v>0.04</v>
      </c>
      <c r="AF3" s="7" t="n">
        <f aca="false">IF(AND(ISNUMBER(G3),ISNUMBER(AE3)),IF(AE3&gt;0,G3/AE3,"N/A"),"N/A")</f>
        <v>375</v>
      </c>
      <c r="AG3" s="6"/>
      <c r="AH3" s="6" t="s">
        <v>63</v>
      </c>
      <c r="AI3" s="3" t="s">
        <v>71</v>
      </c>
      <c r="AJ3" s="6"/>
    </row>
    <row r="4" customFormat="false" ht="25.5" hidden="true" customHeight="true" outlineLevel="0" collapsed="false">
      <c r="A4" s="6" t="s">
        <v>56</v>
      </c>
      <c r="B4" s="6" t="s">
        <v>72</v>
      </c>
      <c r="C4" s="6" t="s">
        <v>73</v>
      </c>
      <c r="D4" s="6" t="s">
        <v>74</v>
      </c>
      <c r="E4" s="6"/>
      <c r="F4" s="3" t="s">
        <v>75</v>
      </c>
      <c r="G4" s="6" t="n">
        <v>11000</v>
      </c>
      <c r="H4" s="6" t="n">
        <v>2000</v>
      </c>
      <c r="I4" s="6" t="n">
        <v>7</v>
      </c>
      <c r="J4" s="6" t="n">
        <v>10</v>
      </c>
      <c r="K4" s="6" t="s">
        <v>62</v>
      </c>
      <c r="L4" s="6" t="n">
        <v>100</v>
      </c>
      <c r="M4" s="6"/>
      <c r="N4" s="6"/>
      <c r="O4" s="6"/>
      <c r="P4" s="6"/>
      <c r="Q4" s="7" t="str">
        <f aca="false">IF(AND(ISNUMBER(N4),ISNUMBER(J4),ISNUMBER(O4)),IF(AND(N4&gt;0,J4&gt;0,O4&gt;0),N4/J4*O4,"N/A"),"N/A")</f>
        <v>N/A</v>
      </c>
      <c r="R4" s="8" t="str">
        <f aca="false">IF(ISNUMBER(Q4),ROUND(1+9*PERCENTRANK($Q$2:$Q$140,Q4),1),"N/A")</f>
        <v>N/A</v>
      </c>
      <c r="S4" s="6"/>
      <c r="T4" s="6" t="n">
        <v>10000</v>
      </c>
      <c r="U4" s="6"/>
      <c r="V4" s="6" t="n">
        <v>10000</v>
      </c>
      <c r="W4" s="6" t="n">
        <v>10000</v>
      </c>
      <c r="X4" s="6"/>
      <c r="Y4" s="6"/>
      <c r="Z4" s="6"/>
      <c r="AA4" s="6"/>
      <c r="AB4" s="6"/>
      <c r="AC4" s="6"/>
      <c r="AD4" s="6"/>
      <c r="AE4" s="6" t="n">
        <v>0</v>
      </c>
      <c r="AF4" s="7" t="str">
        <f aca="false">IF(AND(ISNUMBER(G4),ISNUMBER(AE4)),IF(AE4&gt;0,G4/AE4,"N/A"),"N/A")</f>
        <v>N/A</v>
      </c>
      <c r="AG4" s="6" t="s">
        <v>76</v>
      </c>
      <c r="AH4" s="6" t="s">
        <v>77</v>
      </c>
      <c r="AI4" s="6" t="s">
        <v>64</v>
      </c>
      <c r="AJ4" s="3" t="s">
        <v>65</v>
      </c>
    </row>
    <row r="5" customFormat="false" ht="25.5" hidden="true" customHeight="true" outlineLevel="0" collapsed="false">
      <c r="A5" s="6" t="s">
        <v>56</v>
      </c>
      <c r="B5" s="6" t="s">
        <v>78</v>
      </c>
      <c r="C5" s="6" t="s">
        <v>73</v>
      </c>
      <c r="D5" s="6" t="s">
        <v>74</v>
      </c>
      <c r="E5" s="6"/>
      <c r="F5" s="3" t="s">
        <v>75</v>
      </c>
      <c r="G5" s="6" t="n">
        <v>0</v>
      </c>
      <c r="H5" s="6" t="n">
        <v>0</v>
      </c>
      <c r="I5" s="6" t="n">
        <v>4</v>
      </c>
      <c r="J5" s="6" t="n">
        <v>400</v>
      </c>
      <c r="K5" s="6" t="s">
        <v>79</v>
      </c>
      <c r="L5" s="6"/>
      <c r="M5" s="6"/>
      <c r="N5" s="6"/>
      <c r="O5" s="6"/>
      <c r="P5" s="6"/>
      <c r="Q5" s="7" t="str">
        <f aca="false">IF(AND(ISNUMBER(N5),ISNUMBER(J5),ISNUMBER(O5)),IF(AND(N5&gt;0,J5&gt;0,O5&gt;0),N5/J5*O5,"N/A"),"N/A")</f>
        <v>N/A</v>
      </c>
      <c r="R5" s="8" t="str">
        <f aca="false">IF(ISNUMBER(Q5),ROUND(1+9*PERCENTRANK($Q$2:$Q$140,Q5),1),"N/A")</f>
        <v>N/A</v>
      </c>
      <c r="S5" s="6"/>
      <c r="T5" s="6" t="n">
        <v>5000</v>
      </c>
      <c r="U5" s="6"/>
      <c r="V5" s="6" t="n">
        <v>100</v>
      </c>
      <c r="W5" s="6" t="n">
        <v>30</v>
      </c>
      <c r="X5" s="6"/>
      <c r="Y5" s="6"/>
      <c r="Z5" s="6"/>
      <c r="AA5" s="6"/>
      <c r="AB5" s="6"/>
      <c r="AC5" s="6"/>
      <c r="AD5" s="6"/>
      <c r="AE5" s="6" t="n">
        <v>0.36</v>
      </c>
      <c r="AF5" s="7" t="n">
        <f aca="false">IF(AND(ISNUMBER(G5),ISNUMBER(AE5)),IF(AE5&gt;0,G5/AE5,"N/A"),"N/A")</f>
        <v>0</v>
      </c>
      <c r="AG5" s="6" t="s">
        <v>76</v>
      </c>
      <c r="AH5" s="6" t="s">
        <v>63</v>
      </c>
      <c r="AI5" s="3" t="s">
        <v>80</v>
      </c>
      <c r="AJ5" s="6"/>
    </row>
    <row r="6" customFormat="false" ht="38.25" hidden="true" customHeight="true" outlineLevel="0" collapsed="false">
      <c r="A6" s="6" t="s">
        <v>56</v>
      </c>
      <c r="B6" s="6" t="s">
        <v>81</v>
      </c>
      <c r="C6" s="6" t="s">
        <v>73</v>
      </c>
      <c r="D6" s="6" t="s">
        <v>74</v>
      </c>
      <c r="E6" s="6"/>
      <c r="F6" s="3" t="s">
        <v>75</v>
      </c>
      <c r="G6" s="6" t="n">
        <v>11000</v>
      </c>
      <c r="H6" s="6" t="n">
        <v>2000</v>
      </c>
      <c r="I6" s="6" t="n">
        <v>7</v>
      </c>
      <c r="J6" s="6" t="n">
        <v>10000</v>
      </c>
      <c r="K6" s="6" t="s">
        <v>82</v>
      </c>
      <c r="L6" s="6"/>
      <c r="M6" s="6"/>
      <c r="N6" s="6"/>
      <c r="O6" s="6"/>
      <c r="P6" s="6"/>
      <c r="Q6" s="7" t="str">
        <f aca="false">IF(AND(ISNUMBER(N6),ISNUMBER(J6),ISNUMBER(O6)),IF(AND(N6&gt;0,J6&gt;0,O6&gt;0),N6/J6*O6,"N/A"),"N/A")</f>
        <v>N/A</v>
      </c>
      <c r="R6" s="8" t="str">
        <f aca="false">IF(ISNUMBER(Q6),ROUND(1+9*PERCENTRANK($Q$2:$Q$140,Q6),1),"N/A")</f>
        <v>N/A</v>
      </c>
      <c r="S6" s="6"/>
      <c r="T6" s="6" t="n">
        <v>5000</v>
      </c>
      <c r="U6" s="6"/>
      <c r="V6" s="6" t="n">
        <v>100</v>
      </c>
      <c r="W6" s="6" t="n">
        <v>30</v>
      </c>
      <c r="X6" s="6"/>
      <c r="Y6" s="6"/>
      <c r="Z6" s="6"/>
      <c r="AA6" s="6"/>
      <c r="AB6" s="6"/>
      <c r="AC6" s="6"/>
      <c r="AD6" s="6"/>
      <c r="AE6" s="6" t="n">
        <v>0.15</v>
      </c>
      <c r="AF6" s="7" t="n">
        <f aca="false">IF(AND(ISNUMBER(G6),ISNUMBER(AE6)),IF(AE6&gt;0,G6/AE6,"N/A"),"N/A")</f>
        <v>73333.3333333333</v>
      </c>
      <c r="AG6" s="6" t="s">
        <v>76</v>
      </c>
      <c r="AH6" s="6" t="s">
        <v>77</v>
      </c>
      <c r="AI6" s="3" t="s">
        <v>83</v>
      </c>
      <c r="AJ6" s="3" t="s">
        <v>84</v>
      </c>
    </row>
    <row r="7" customFormat="false" ht="38.25" hidden="true" customHeight="true" outlineLevel="0" collapsed="false">
      <c r="A7" s="6" t="s">
        <v>56</v>
      </c>
      <c r="B7" s="6" t="s">
        <v>85</v>
      </c>
      <c r="C7" s="6" t="s">
        <v>73</v>
      </c>
      <c r="D7" s="6" t="s">
        <v>74</v>
      </c>
      <c r="E7" s="6"/>
      <c r="F7" s="3" t="s">
        <v>75</v>
      </c>
      <c r="G7" s="6" t="n">
        <v>800</v>
      </c>
      <c r="H7" s="6" t="n">
        <v>3000</v>
      </c>
      <c r="I7" s="6" t="n">
        <v>10</v>
      </c>
      <c r="J7" s="6" t="n">
        <v>1000</v>
      </c>
      <c r="K7" s="6" t="s">
        <v>86</v>
      </c>
      <c r="L7" s="6"/>
      <c r="M7" s="6"/>
      <c r="N7" s="6"/>
      <c r="O7" s="6"/>
      <c r="P7" s="6"/>
      <c r="Q7" s="7" t="str">
        <f aca="false">IF(AND(ISNUMBER(N7),ISNUMBER(J7),ISNUMBER(O7)),IF(AND(N7&gt;0,J7&gt;0,O7&gt;0),N7/J7*O7,"N/A"),"N/A")</f>
        <v>N/A</v>
      </c>
      <c r="R7" s="8" t="str">
        <f aca="false">IF(ISNUMBER(Q7),ROUND(1+9*PERCENTRANK($Q$2:$Q$140,Q7),1),"N/A")</f>
        <v>N/A</v>
      </c>
      <c r="S7" s="6"/>
      <c r="T7" s="6" t="n">
        <v>5000</v>
      </c>
      <c r="U7" s="6"/>
      <c r="V7" s="6" t="n">
        <v>100</v>
      </c>
      <c r="W7" s="6" t="n">
        <v>30</v>
      </c>
      <c r="X7" s="6"/>
      <c r="Y7" s="6"/>
      <c r="Z7" s="6"/>
      <c r="AA7" s="6"/>
      <c r="AB7" s="6"/>
      <c r="AC7" s="6"/>
      <c r="AD7" s="6"/>
      <c r="AE7" s="6" t="n">
        <v>0.15</v>
      </c>
      <c r="AF7" s="7" t="n">
        <f aca="false">IF(AND(ISNUMBER(G7),ISNUMBER(AE7)),IF(AE7&gt;0,G7/AE7,"N/A"),"N/A")</f>
        <v>5333.33333333333</v>
      </c>
      <c r="AG7" s="6" t="s">
        <v>76</v>
      </c>
      <c r="AH7" s="6" t="s">
        <v>77</v>
      </c>
      <c r="AI7" s="3" t="s">
        <v>87</v>
      </c>
      <c r="AJ7" s="3" t="s">
        <v>84</v>
      </c>
    </row>
    <row r="8" customFormat="false" ht="25.5" hidden="true" customHeight="true" outlineLevel="0" collapsed="false">
      <c r="A8" s="6" t="s">
        <v>56</v>
      </c>
      <c r="B8" s="6" t="s">
        <v>88</v>
      </c>
      <c r="C8" s="6" t="s">
        <v>73</v>
      </c>
      <c r="D8" s="6" t="s">
        <v>74</v>
      </c>
      <c r="E8" s="6"/>
      <c r="F8" s="3" t="s">
        <v>75</v>
      </c>
      <c r="G8" s="6" t="n">
        <v>400</v>
      </c>
      <c r="H8" s="6" t="n">
        <v>500</v>
      </c>
      <c r="I8" s="6" t="n">
        <v>8</v>
      </c>
      <c r="J8" s="6" t="n">
        <v>500</v>
      </c>
      <c r="K8" s="6" t="s">
        <v>79</v>
      </c>
      <c r="L8" s="6"/>
      <c r="M8" s="6"/>
      <c r="N8" s="6"/>
      <c r="O8" s="6"/>
      <c r="P8" s="6"/>
      <c r="Q8" s="7" t="str">
        <f aca="false">IF(AND(ISNUMBER(N8),ISNUMBER(J8),ISNUMBER(O8)),IF(AND(N8&gt;0,J8&gt;0,O8&gt;0),N8/J8*O8,"N/A"),"N/A")</f>
        <v>N/A</v>
      </c>
      <c r="R8" s="8" t="str">
        <f aca="false">IF(ISNUMBER(Q8),ROUND(1+9*PERCENTRANK($Q$2:$Q$140,Q8),1),"N/A")</f>
        <v>N/A</v>
      </c>
      <c r="S8" s="6"/>
      <c r="T8" s="6" t="n">
        <v>5000</v>
      </c>
      <c r="U8" s="6"/>
      <c r="V8" s="6" t="n">
        <v>100</v>
      </c>
      <c r="W8" s="6" t="n">
        <v>30</v>
      </c>
      <c r="X8" s="6"/>
      <c r="Y8" s="6"/>
      <c r="Z8" s="6"/>
      <c r="AA8" s="6"/>
      <c r="AB8" s="6"/>
      <c r="AC8" s="6"/>
      <c r="AD8" s="6"/>
      <c r="AE8" s="6" t="n">
        <v>0.02</v>
      </c>
      <c r="AF8" s="7" t="n">
        <f aca="false">IF(AND(ISNUMBER(G8),ISNUMBER(AE8)),IF(AE8&gt;0,G8/AE8,"N/A"),"N/A")</f>
        <v>20000</v>
      </c>
      <c r="AG8" s="6" t="s">
        <v>76</v>
      </c>
      <c r="AH8" s="6" t="s">
        <v>63</v>
      </c>
      <c r="AI8" s="3" t="s">
        <v>89</v>
      </c>
      <c r="AJ8" s="3" t="s">
        <v>84</v>
      </c>
    </row>
    <row r="9" customFormat="false" ht="25.5" hidden="true" customHeight="true" outlineLevel="0" collapsed="false">
      <c r="A9" s="6" t="s">
        <v>56</v>
      </c>
      <c r="B9" s="6" t="s">
        <v>90</v>
      </c>
      <c r="C9" s="6" t="s">
        <v>73</v>
      </c>
      <c r="D9" s="6" t="s">
        <v>74</v>
      </c>
      <c r="E9" s="6"/>
      <c r="F9" s="3" t="s">
        <v>75</v>
      </c>
      <c r="G9" s="6" t="n">
        <v>100</v>
      </c>
      <c r="H9" s="6" t="n">
        <v>200</v>
      </c>
      <c r="I9" s="6" t="n">
        <v>7</v>
      </c>
      <c r="J9" s="6" t="n">
        <v>125</v>
      </c>
      <c r="K9" s="6" t="s">
        <v>91</v>
      </c>
      <c r="L9" s="6"/>
      <c r="M9" s="6"/>
      <c r="N9" s="6"/>
      <c r="O9" s="6"/>
      <c r="P9" s="6"/>
      <c r="Q9" s="7" t="str">
        <f aca="false">IF(AND(ISNUMBER(N9),ISNUMBER(J9),ISNUMBER(O9)),IF(AND(N9&gt;0,J9&gt;0,O9&gt;0),N9/J9*O9,"N/A"),"N/A")</f>
        <v>N/A</v>
      </c>
      <c r="R9" s="8" t="str">
        <f aca="false">IF(ISNUMBER(Q9),ROUND(1+9*PERCENTRANK($Q$2:$Q$140,Q9),1),"N/A")</f>
        <v>N/A</v>
      </c>
      <c r="S9" s="6"/>
      <c r="T9" s="6" t="n">
        <v>4000</v>
      </c>
      <c r="U9" s="6"/>
      <c r="V9" s="6" t="n">
        <v>100</v>
      </c>
      <c r="W9" s="6" t="n">
        <v>30</v>
      </c>
      <c r="X9" s="6"/>
      <c r="Y9" s="6"/>
      <c r="Z9" s="6"/>
      <c r="AA9" s="6"/>
      <c r="AB9" s="6"/>
      <c r="AC9" s="6"/>
      <c r="AD9" s="6"/>
      <c r="AE9" s="6" t="n">
        <v>0.01</v>
      </c>
      <c r="AF9" s="7" t="n">
        <f aca="false">IF(AND(ISNUMBER(G9),ISNUMBER(AE9)),IF(AE9&gt;0,G9/AE9,"N/A"),"N/A")</f>
        <v>10000</v>
      </c>
      <c r="AG9" s="6" t="s">
        <v>76</v>
      </c>
      <c r="AH9" s="6" t="s">
        <v>63</v>
      </c>
      <c r="AI9" s="3" t="s">
        <v>92</v>
      </c>
      <c r="AJ9" s="3" t="s">
        <v>84</v>
      </c>
    </row>
    <row r="10" customFormat="false" ht="25.5" hidden="true" customHeight="true" outlineLevel="0" collapsed="false">
      <c r="A10" s="6" t="s">
        <v>56</v>
      </c>
      <c r="B10" s="6" t="s">
        <v>93</v>
      </c>
      <c r="C10" s="6" t="s">
        <v>73</v>
      </c>
      <c r="D10" s="6" t="s">
        <v>74</v>
      </c>
      <c r="E10" s="6"/>
      <c r="F10" s="3" t="s">
        <v>75</v>
      </c>
      <c r="G10" s="6" t="n">
        <v>100</v>
      </c>
      <c r="H10" s="6" t="n">
        <v>200</v>
      </c>
      <c r="I10" s="6" t="n">
        <v>7</v>
      </c>
      <c r="J10" s="6" t="n">
        <v>125</v>
      </c>
      <c r="K10" s="6" t="s">
        <v>91</v>
      </c>
      <c r="L10" s="6"/>
      <c r="M10" s="6"/>
      <c r="N10" s="6"/>
      <c r="O10" s="6"/>
      <c r="P10" s="6"/>
      <c r="Q10" s="7" t="str">
        <f aca="false">IF(AND(ISNUMBER(N10),ISNUMBER(J10),ISNUMBER(O10)),IF(AND(N10&gt;0,J10&gt;0,O10&gt;0),N10/J10*O10,"N/A"),"N/A")</f>
        <v>N/A</v>
      </c>
      <c r="R10" s="8" t="str">
        <f aca="false">IF(ISNUMBER(Q10),ROUND(1+9*PERCENTRANK($Q$2:$Q$140,Q10),1),"N/A")</f>
        <v>N/A</v>
      </c>
      <c r="S10" s="6"/>
      <c r="T10" s="6" t="n">
        <v>4000</v>
      </c>
      <c r="U10" s="6"/>
      <c r="V10" s="6" t="n">
        <v>100</v>
      </c>
      <c r="W10" s="6" t="n">
        <v>30</v>
      </c>
      <c r="X10" s="6"/>
      <c r="Y10" s="6"/>
      <c r="Z10" s="6"/>
      <c r="AA10" s="6"/>
      <c r="AB10" s="6"/>
      <c r="AC10" s="6"/>
      <c r="AD10" s="6"/>
      <c r="AE10" s="6" t="n">
        <v>0.01</v>
      </c>
      <c r="AF10" s="7" t="n">
        <f aca="false">IF(AND(ISNUMBER(G10),ISNUMBER(AE10)),IF(AE10&gt;0,G10/AE10,"N/A"),"N/A")</f>
        <v>10000</v>
      </c>
      <c r="AG10" s="6" t="s">
        <v>76</v>
      </c>
      <c r="AH10" s="6" t="s">
        <v>77</v>
      </c>
      <c r="AI10" s="3" t="s">
        <v>94</v>
      </c>
      <c r="AJ10" s="6"/>
    </row>
    <row r="11" customFormat="false" ht="25.5" hidden="true" customHeight="true" outlineLevel="0" collapsed="false">
      <c r="A11" s="6" t="s">
        <v>56</v>
      </c>
      <c r="B11" s="6" t="s">
        <v>95</v>
      </c>
      <c r="C11" s="6" t="s">
        <v>73</v>
      </c>
      <c r="D11" s="6" t="s">
        <v>74</v>
      </c>
      <c r="E11" s="6"/>
      <c r="F11" s="3" t="s">
        <v>75</v>
      </c>
      <c r="G11" s="6" t="n">
        <v>200</v>
      </c>
      <c r="H11" s="6" t="n">
        <v>350</v>
      </c>
      <c r="I11" s="6" t="n">
        <v>7</v>
      </c>
      <c r="J11" s="6" t="n">
        <v>250</v>
      </c>
      <c r="K11" s="6" t="s">
        <v>96</v>
      </c>
      <c r="L11" s="6"/>
      <c r="M11" s="6"/>
      <c r="N11" s="6"/>
      <c r="O11" s="6"/>
      <c r="P11" s="6"/>
      <c r="Q11" s="7" t="str">
        <f aca="false">IF(AND(ISNUMBER(N11),ISNUMBER(J11),ISNUMBER(O11)),IF(AND(N11&gt;0,J11&gt;0,O11&gt;0),N11/J11*O11,"N/A"),"N/A")</f>
        <v>N/A</v>
      </c>
      <c r="R11" s="8" t="str">
        <f aca="false">IF(ISNUMBER(Q11),ROUND(1+9*PERCENTRANK($Q$2:$Q$140,Q11),1),"N/A")</f>
        <v>N/A</v>
      </c>
      <c r="S11" s="6"/>
      <c r="T11" s="6" t="n">
        <v>5000</v>
      </c>
      <c r="U11" s="6"/>
      <c r="V11" s="6" t="n">
        <v>100</v>
      </c>
      <c r="W11" s="6" t="n">
        <v>30</v>
      </c>
      <c r="X11" s="6"/>
      <c r="Y11" s="6"/>
      <c r="Z11" s="6"/>
      <c r="AA11" s="6"/>
      <c r="AB11" s="6"/>
      <c r="AC11" s="6"/>
      <c r="AD11" s="6"/>
      <c r="AE11" s="6" t="n">
        <v>0.015</v>
      </c>
      <c r="AF11" s="7" t="n">
        <f aca="false">IF(AND(ISNUMBER(G11),ISNUMBER(AE11)),IF(AE11&gt;0,G11/AE11,"N/A"),"N/A")</f>
        <v>13333.3333333333</v>
      </c>
      <c r="AG11" s="6" t="s">
        <v>76</v>
      </c>
      <c r="AH11" s="6" t="s">
        <v>63</v>
      </c>
      <c r="AI11" s="3" t="s">
        <v>97</v>
      </c>
      <c r="AJ11" s="3" t="s">
        <v>84</v>
      </c>
    </row>
    <row r="12" customFormat="false" ht="63.75" hidden="true" customHeight="true" outlineLevel="0" collapsed="false">
      <c r="A12" s="6" t="s">
        <v>56</v>
      </c>
      <c r="B12" s="6" t="s">
        <v>98</v>
      </c>
      <c r="C12" s="6" t="s">
        <v>99</v>
      </c>
      <c r="D12" s="6" t="s">
        <v>74</v>
      </c>
      <c r="E12" s="6"/>
      <c r="F12" s="3" t="s">
        <v>75</v>
      </c>
      <c r="G12" s="6" t="n">
        <v>1500000</v>
      </c>
      <c r="H12" s="6" t="n">
        <v>500</v>
      </c>
      <c r="I12" s="6" t="n">
        <v>7</v>
      </c>
      <c r="J12" s="6" t="n">
        <v>400</v>
      </c>
      <c r="K12" s="6" t="s">
        <v>100</v>
      </c>
      <c r="L12" s="6"/>
      <c r="M12" s="6"/>
      <c r="N12" s="6"/>
      <c r="O12" s="6"/>
      <c r="P12" s="6"/>
      <c r="Q12" s="7" t="str">
        <f aca="false">IF(AND(ISNUMBER(N12),ISNUMBER(J12),ISNUMBER(O12)),IF(AND(N12&gt;0,J12&gt;0,O12&gt;0),N12/J12*O12,"N/A"),"N/A")</f>
        <v>N/A</v>
      </c>
      <c r="R12" s="8" t="str">
        <f aca="false">IF(ISNUMBER(Q12),ROUND(1+9*PERCENTRANK($Q$2:$Q$140,Q12),1),"N/A")</f>
        <v>N/A</v>
      </c>
      <c r="S12" s="6"/>
      <c r="T12" s="6" t="n">
        <v>5000</v>
      </c>
      <c r="U12" s="6"/>
      <c r="V12" s="6" t="n">
        <v>100</v>
      </c>
      <c r="W12" s="6" t="n">
        <v>30</v>
      </c>
      <c r="X12" s="6"/>
      <c r="Y12" s="6"/>
      <c r="Z12" s="6"/>
      <c r="AA12" s="6"/>
      <c r="AB12" s="6"/>
      <c r="AC12" s="6"/>
      <c r="AD12" s="6"/>
      <c r="AE12" s="6" t="n">
        <v>28</v>
      </c>
      <c r="AF12" s="7" t="n">
        <f aca="false">IF(AND(ISNUMBER(G12),ISNUMBER(AE12)),IF(AE12&gt;0,G12/AE12,"N/A"),"N/A")</f>
        <v>53571.4285714286</v>
      </c>
      <c r="AG12" s="6" t="s">
        <v>101</v>
      </c>
      <c r="AH12" s="6" t="s">
        <v>77</v>
      </c>
      <c r="AI12" s="3" t="s">
        <v>102</v>
      </c>
      <c r="AJ12" s="6"/>
    </row>
    <row r="13" customFormat="false" ht="51" hidden="true" customHeight="true" outlineLevel="0" collapsed="false">
      <c r="A13" s="6" t="s">
        <v>56</v>
      </c>
      <c r="B13" s="6" t="s">
        <v>103</v>
      </c>
      <c r="C13" s="6" t="s">
        <v>99</v>
      </c>
      <c r="D13" s="6" t="s">
        <v>74</v>
      </c>
      <c r="E13" s="6"/>
      <c r="F13" s="3" t="s">
        <v>75</v>
      </c>
      <c r="G13" s="6" t="n">
        <v>250000000</v>
      </c>
      <c r="H13" s="6" t="n">
        <v>500</v>
      </c>
      <c r="I13" s="6" t="n">
        <v>7</v>
      </c>
      <c r="J13" s="6" t="n">
        <v>400</v>
      </c>
      <c r="K13" s="6" t="s">
        <v>100</v>
      </c>
      <c r="L13" s="6"/>
      <c r="M13" s="6"/>
      <c r="N13" s="6"/>
      <c r="O13" s="6"/>
      <c r="P13" s="6"/>
      <c r="Q13" s="7" t="str">
        <f aca="false">IF(AND(ISNUMBER(N13),ISNUMBER(J13),ISNUMBER(O13)),IF(AND(N13&gt;0,J13&gt;0,O13&gt;0),N13/J13*O13,"N/A"),"N/A")</f>
        <v>N/A</v>
      </c>
      <c r="R13" s="8" t="str">
        <f aca="false">IF(ISNUMBER(Q13),ROUND(1+9*PERCENTRANK($Q$2:$Q$140,Q13),1),"N/A")</f>
        <v>N/A</v>
      </c>
      <c r="S13" s="6"/>
      <c r="T13" s="6" t="n">
        <v>5000</v>
      </c>
      <c r="U13" s="6"/>
      <c r="V13" s="6" t="n">
        <v>100</v>
      </c>
      <c r="W13" s="6" t="n">
        <v>30</v>
      </c>
      <c r="X13" s="6"/>
      <c r="Y13" s="6"/>
      <c r="Z13" s="6"/>
      <c r="AA13" s="6"/>
      <c r="AB13" s="6"/>
      <c r="AC13" s="6"/>
      <c r="AD13" s="6"/>
      <c r="AE13" s="6" t="n">
        <v>28</v>
      </c>
      <c r="AF13" s="7" t="n">
        <f aca="false">IF(AND(ISNUMBER(G13),ISNUMBER(AE13)),IF(AE13&gt;0,G13/AE13,"N/A"),"N/A")</f>
        <v>8928571.42857143</v>
      </c>
      <c r="AG13" s="6" t="s">
        <v>104</v>
      </c>
      <c r="AH13" s="6" t="s">
        <v>77</v>
      </c>
      <c r="AI13" s="3" t="s">
        <v>105</v>
      </c>
      <c r="AJ13" s="6"/>
    </row>
    <row r="14" customFormat="false" ht="38.25" hidden="true" customHeight="true" outlineLevel="0" collapsed="false">
      <c r="A14" s="6" t="s">
        <v>56</v>
      </c>
      <c r="B14" s="6" t="s">
        <v>106</v>
      </c>
      <c r="C14" s="6" t="s">
        <v>107</v>
      </c>
      <c r="D14" s="6" t="s">
        <v>59</v>
      </c>
      <c r="E14" s="3" t="s">
        <v>108</v>
      </c>
      <c r="F14" s="3" t="s">
        <v>109</v>
      </c>
      <c r="G14" s="6" t="n">
        <v>0</v>
      </c>
      <c r="H14" s="6" t="n">
        <v>250</v>
      </c>
      <c r="I14" s="6" t="n">
        <v>8</v>
      </c>
      <c r="J14" s="6" t="n">
        <v>500</v>
      </c>
      <c r="K14" s="6" t="s">
        <v>110</v>
      </c>
      <c r="L14" s="6"/>
      <c r="M14" s="6"/>
      <c r="N14" s="6"/>
      <c r="O14" s="6"/>
      <c r="P14" s="6"/>
      <c r="Q14" s="7" t="str">
        <f aca="false">IF(AND(ISNUMBER(N14),ISNUMBER(J14),ISNUMBER(O14)),IF(AND(N14&gt;0,J14&gt;0,O14&gt;0),N14/J14*O14,"N/A"),"N/A")</f>
        <v>N/A</v>
      </c>
      <c r="R14" s="8" t="str">
        <f aca="false">IF(ISNUMBER(Q14),ROUND(1+9*PERCENTRANK($Q$2:$Q$140,Q14),1),"N/A")</f>
        <v>N/A</v>
      </c>
      <c r="S14" s="6" t="n">
        <v>1000</v>
      </c>
      <c r="T14" s="6" t="n">
        <v>10000</v>
      </c>
      <c r="U14" s="6"/>
      <c r="V14" s="6" t="n">
        <v>100</v>
      </c>
      <c r="W14" s="6" t="n">
        <v>30</v>
      </c>
      <c r="X14" s="6"/>
      <c r="Y14" s="6"/>
      <c r="Z14" s="6"/>
      <c r="AA14" s="6"/>
      <c r="AB14" s="6"/>
      <c r="AC14" s="6"/>
      <c r="AD14" s="6"/>
      <c r="AE14" s="6" t="n">
        <v>2.5</v>
      </c>
      <c r="AF14" s="7" t="n">
        <f aca="false">IF(AND(ISNUMBER(G14),ISNUMBER(AE14)),IF(AE14&gt;0,G14/AE14,"N/A"),"N/A")</f>
        <v>0</v>
      </c>
      <c r="AG14" s="6" t="s">
        <v>111</v>
      </c>
      <c r="AH14" s="6" t="s">
        <v>63</v>
      </c>
      <c r="AI14" s="3" t="s">
        <v>112</v>
      </c>
      <c r="AJ14" s="6"/>
    </row>
    <row r="15" customFormat="false" ht="25.5" hidden="true" customHeight="true" outlineLevel="0" collapsed="false">
      <c r="A15" s="6" t="s">
        <v>56</v>
      </c>
      <c r="B15" s="6" t="s">
        <v>113</v>
      </c>
      <c r="C15" s="6" t="s">
        <v>107</v>
      </c>
      <c r="D15" s="6" t="s">
        <v>59</v>
      </c>
      <c r="E15" s="6" t="s">
        <v>114</v>
      </c>
      <c r="F15" s="3" t="s">
        <v>68</v>
      </c>
      <c r="G15" s="6" t="n">
        <v>200</v>
      </c>
      <c r="H15" s="6" t="n">
        <v>350</v>
      </c>
      <c r="I15" s="6" t="n">
        <v>7</v>
      </c>
      <c r="J15" s="6" t="n">
        <v>270</v>
      </c>
      <c r="K15" s="6" t="s">
        <v>96</v>
      </c>
      <c r="L15" s="6"/>
      <c r="M15" s="6"/>
      <c r="N15" s="6"/>
      <c r="O15" s="6"/>
      <c r="P15" s="6"/>
      <c r="Q15" s="7" t="str">
        <f aca="false">IF(AND(ISNUMBER(N15),ISNUMBER(J15),ISNUMBER(O15)),IF(AND(N15&gt;0,J15&gt;0,O15&gt;0),N15/J15*O15,"N/A"),"N/A")</f>
        <v>N/A</v>
      </c>
      <c r="R15" s="8" t="str">
        <f aca="false">IF(ISNUMBER(Q15),ROUND(1+9*PERCENTRANK($Q$2:$Q$140,Q15),1),"N/A")</f>
        <v>N/A</v>
      </c>
      <c r="S15" s="6" t="n">
        <v>1000</v>
      </c>
      <c r="T15" s="6" t="n">
        <v>10000</v>
      </c>
      <c r="U15" s="6"/>
      <c r="V15" s="6" t="n">
        <v>100</v>
      </c>
      <c r="W15" s="6" t="n">
        <v>30</v>
      </c>
      <c r="X15" s="6"/>
      <c r="Y15" s="6"/>
      <c r="Z15" s="6"/>
      <c r="AA15" s="6"/>
      <c r="AB15" s="6"/>
      <c r="AC15" s="6"/>
      <c r="AD15" s="6"/>
      <c r="AE15" s="6" t="n">
        <v>0.105</v>
      </c>
      <c r="AF15" s="7" t="n">
        <f aca="false">IF(AND(ISNUMBER(G15),ISNUMBER(AE15)),IF(AE15&gt;0,G15/AE15,"N/A"),"N/A")</f>
        <v>1904.7619047619</v>
      </c>
      <c r="AG15" s="6" t="s">
        <v>111</v>
      </c>
      <c r="AH15" s="6" t="s">
        <v>63</v>
      </c>
      <c r="AI15" s="3" t="s">
        <v>115</v>
      </c>
      <c r="AJ15" s="6"/>
    </row>
    <row r="16" customFormat="false" ht="51" hidden="true" customHeight="true" outlineLevel="0" collapsed="false">
      <c r="A16" s="6" t="s">
        <v>56</v>
      </c>
      <c r="B16" s="6" t="s">
        <v>116</v>
      </c>
      <c r="C16" s="6" t="s">
        <v>107</v>
      </c>
      <c r="D16" s="6" t="s">
        <v>59</v>
      </c>
      <c r="E16" s="6" t="s">
        <v>114</v>
      </c>
      <c r="F16" s="3" t="s">
        <v>68</v>
      </c>
      <c r="G16" s="6" t="n">
        <v>80</v>
      </c>
      <c r="H16" s="6" t="n">
        <v>0</v>
      </c>
      <c r="I16" s="6" t="n">
        <v>7</v>
      </c>
      <c r="J16" s="6" t="n">
        <v>125</v>
      </c>
      <c r="K16" s="6" t="s">
        <v>117</v>
      </c>
      <c r="L16" s="6"/>
      <c r="M16" s="6"/>
      <c r="N16" s="6"/>
      <c r="O16" s="6"/>
      <c r="P16" s="6"/>
      <c r="Q16" s="7" t="str">
        <f aca="false">IF(AND(ISNUMBER(N16),ISNUMBER(J16),ISNUMBER(O16)),IF(AND(N16&gt;0,J16&gt;0,O16&gt;0),N16/J16*O16,"N/A"),"N/A")</f>
        <v>N/A</v>
      </c>
      <c r="R16" s="8" t="str">
        <f aca="false">IF(ISNUMBER(Q16),ROUND(1+9*PERCENTRANK($Q$2:$Q$140,Q16),1),"N/A")</f>
        <v>N/A</v>
      </c>
      <c r="S16" s="6" t="n">
        <v>1000</v>
      </c>
      <c r="T16" s="6" t="n">
        <v>10000</v>
      </c>
      <c r="U16" s="6"/>
      <c r="V16" s="6" t="s">
        <v>70</v>
      </c>
      <c r="W16" s="6" t="n">
        <v>30</v>
      </c>
      <c r="X16" s="6"/>
      <c r="Y16" s="6"/>
      <c r="Z16" s="6"/>
      <c r="AA16" s="6"/>
      <c r="AB16" s="6"/>
      <c r="AC16" s="6"/>
      <c r="AD16" s="6"/>
      <c r="AE16" s="6" t="n">
        <v>0.06</v>
      </c>
      <c r="AF16" s="7" t="n">
        <f aca="false">IF(AND(ISNUMBER(G16),ISNUMBER(AE16)),IF(AE16&gt;0,G16/AE16,"N/A"),"N/A")</f>
        <v>1333.33333333333</v>
      </c>
      <c r="AG16" s="6" t="s">
        <v>111</v>
      </c>
      <c r="AH16" s="6" t="s">
        <v>63</v>
      </c>
      <c r="AI16" s="3" t="s">
        <v>118</v>
      </c>
      <c r="AJ16" s="6"/>
    </row>
    <row r="17" customFormat="false" ht="25.5" hidden="true" customHeight="true" outlineLevel="0" collapsed="false">
      <c r="A17" s="6" t="s">
        <v>56</v>
      </c>
      <c r="B17" s="6" t="s">
        <v>119</v>
      </c>
      <c r="C17" s="6" t="s">
        <v>120</v>
      </c>
      <c r="D17" s="6"/>
      <c r="E17" s="6"/>
      <c r="F17" s="6"/>
      <c r="G17" s="6"/>
      <c r="H17" s="6"/>
      <c r="I17" s="6" t="n">
        <v>10</v>
      </c>
      <c r="J17" s="6" t="n">
        <v>0</v>
      </c>
      <c r="K17" s="6"/>
      <c r="L17" s="6" t="n">
        <v>300000000</v>
      </c>
      <c r="M17" s="6" t="n">
        <v>300000000</v>
      </c>
      <c r="N17" s="6"/>
      <c r="O17" s="6"/>
      <c r="P17" s="6"/>
      <c r="Q17" s="7" t="str">
        <f aca="false">IF(AND(ISNUMBER(N17),ISNUMBER(J17),ISNUMBER(O17)),IF(AND(N17&gt;0,J17&gt;0,O17&gt;0),N17/J17*O17,"N/A"),"N/A")</f>
        <v>N/A</v>
      </c>
      <c r="R17" s="8" t="str">
        <f aca="false">IF(ISNUMBER(Q17),ROUND(1+9*PERCENTRANK($Q$2:$Q$140,Q17),1),"N/A")</f>
        <v>N/A</v>
      </c>
      <c r="S17" s="6"/>
      <c r="T17" s="6" t="n">
        <v>50000</v>
      </c>
      <c r="U17" s="6"/>
      <c r="V17" s="6" t="s">
        <v>70</v>
      </c>
      <c r="W17" s="6" t="s">
        <v>70</v>
      </c>
      <c r="X17" s="6"/>
      <c r="Y17" s="6"/>
      <c r="Z17" s="6"/>
      <c r="AA17" s="6"/>
      <c r="AB17" s="6"/>
      <c r="AC17" s="6"/>
      <c r="AD17" s="6"/>
      <c r="AE17" s="6" t="n">
        <v>0</v>
      </c>
      <c r="AF17" s="7" t="str">
        <f aca="false">IF(AND(ISNUMBER(G17),ISNUMBER(AE17)),IF(AE17&gt;0,G17/AE17,"N/A"),"N/A")</f>
        <v>N/A</v>
      </c>
      <c r="AG17" s="6" t="s">
        <v>121</v>
      </c>
      <c r="AH17" s="6" t="s">
        <v>122</v>
      </c>
      <c r="AI17" s="3" t="s">
        <v>123</v>
      </c>
      <c r="AJ17" s="6"/>
    </row>
    <row r="18" customFormat="false" ht="38.25" hidden="true" customHeight="true" outlineLevel="0" collapsed="false">
      <c r="A18" s="6" t="s">
        <v>56</v>
      </c>
      <c r="B18" s="6" t="s">
        <v>124</v>
      </c>
      <c r="C18" s="3" t="s">
        <v>125</v>
      </c>
      <c r="D18" s="6"/>
      <c r="E18" s="6"/>
      <c r="F18" s="6"/>
      <c r="G18" s="6" t="n">
        <v>0</v>
      </c>
      <c r="H18" s="6" t="n">
        <v>160</v>
      </c>
      <c r="I18" s="6" t="n">
        <v>3</v>
      </c>
      <c r="J18" s="6" t="n">
        <v>0.12</v>
      </c>
      <c r="K18" s="6"/>
      <c r="L18" s="6" t="n">
        <v>850</v>
      </c>
      <c r="M18" s="6" t="n">
        <v>850</v>
      </c>
      <c r="N18" s="6"/>
      <c r="O18" s="6"/>
      <c r="P18" s="6"/>
      <c r="Q18" s="7" t="str">
        <f aca="false">IF(AND(ISNUMBER(N18),ISNUMBER(J18),ISNUMBER(O18)),IF(AND(N18&gt;0,J18&gt;0,O18&gt;0),N18/J18*O18,"N/A"),"N/A")</f>
        <v>N/A</v>
      </c>
      <c r="R18" s="8" t="str">
        <f aca="false">IF(ISNUMBER(Q18),ROUND(1+9*PERCENTRANK($Q$2:$Q$140,Q18),1),"N/A")</f>
        <v>N/A</v>
      </c>
      <c r="S18" s="6"/>
      <c r="T18" s="6" t="n">
        <v>1800</v>
      </c>
      <c r="U18" s="6"/>
      <c r="V18" s="6" t="s">
        <v>70</v>
      </c>
      <c r="W18" s="6" t="s">
        <v>70</v>
      </c>
      <c r="X18" s="6" t="n">
        <v>900</v>
      </c>
      <c r="Y18" s="6" t="n">
        <v>100</v>
      </c>
      <c r="Z18" s="6" t="n">
        <v>7</v>
      </c>
      <c r="AA18" s="6" t="n">
        <v>2</v>
      </c>
      <c r="AB18" s="6"/>
      <c r="AC18" s="6"/>
      <c r="AD18" s="6"/>
      <c r="AE18" s="6" t="n">
        <v>3E-006</v>
      </c>
      <c r="AF18" s="7" t="n">
        <f aca="false">IF(AND(ISNUMBER(G18),ISNUMBER(AE18)),IF(AE18&gt;0,G18/AE18,"N/A"),"N/A")</f>
        <v>0</v>
      </c>
      <c r="AG18" s="6" t="s">
        <v>126</v>
      </c>
      <c r="AH18" s="6" t="s">
        <v>63</v>
      </c>
      <c r="AI18" s="3" t="s">
        <v>127</v>
      </c>
      <c r="AJ18" s="6"/>
    </row>
    <row r="19" customFormat="false" ht="38.25" hidden="true" customHeight="true" outlineLevel="0" collapsed="false">
      <c r="A19" s="6" t="s">
        <v>56</v>
      </c>
      <c r="B19" s="6" t="s">
        <v>128</v>
      </c>
      <c r="C19" s="3" t="s">
        <v>125</v>
      </c>
      <c r="D19" s="6"/>
      <c r="E19" s="6"/>
      <c r="F19" s="6"/>
      <c r="G19" s="6" t="n">
        <v>0</v>
      </c>
      <c r="H19" s="6" t="n">
        <v>160</v>
      </c>
      <c r="I19" s="6" t="n">
        <v>3</v>
      </c>
      <c r="J19" s="6" t="n">
        <v>0.12</v>
      </c>
      <c r="K19" s="6"/>
      <c r="L19" s="6" t="n">
        <v>850</v>
      </c>
      <c r="M19" s="6"/>
      <c r="N19" s="6"/>
      <c r="O19" s="6"/>
      <c r="P19" s="6"/>
      <c r="Q19" s="7" t="str">
        <f aca="false">IF(AND(ISNUMBER(N19),ISNUMBER(J19),ISNUMBER(O19)),IF(AND(N19&gt;0,J19&gt;0,O19&gt;0),N19/J19*O19,"N/A"),"N/A")</f>
        <v>N/A</v>
      </c>
      <c r="R19" s="8" t="str">
        <f aca="false">IF(ISNUMBER(Q19),ROUND(1+9*PERCENTRANK($Q$2:$Q$140,Q19),1),"N/A")</f>
        <v>N/A</v>
      </c>
      <c r="S19" s="6"/>
      <c r="T19" s="6" t="n">
        <v>2500</v>
      </c>
      <c r="U19" s="6"/>
      <c r="V19" s="6" t="s">
        <v>70</v>
      </c>
      <c r="W19" s="6" t="s">
        <v>70</v>
      </c>
      <c r="X19" s="6" t="n">
        <v>2000</v>
      </c>
      <c r="Y19" s="6" t="n">
        <v>200</v>
      </c>
      <c r="Z19" s="6" t="n">
        <v>5</v>
      </c>
      <c r="AA19" s="6" t="n">
        <v>2</v>
      </c>
      <c r="AB19" s="6"/>
      <c r="AC19" s="6"/>
      <c r="AD19" s="6"/>
      <c r="AE19" s="6" t="n">
        <v>3E-006</v>
      </c>
      <c r="AF19" s="7" t="n">
        <f aca="false">IF(AND(ISNUMBER(G19),ISNUMBER(AE19)),IF(AE19&gt;0,G19/AE19,"N/A"),"N/A")</f>
        <v>0</v>
      </c>
      <c r="AG19" s="6" t="s">
        <v>126</v>
      </c>
      <c r="AH19" s="3" t="s">
        <v>129</v>
      </c>
      <c r="AI19" s="3" t="s">
        <v>127</v>
      </c>
      <c r="AJ19" s="6"/>
    </row>
    <row r="20" customFormat="false" ht="25.5" hidden="true" customHeight="true" outlineLevel="0" collapsed="false">
      <c r="A20" s="6" t="s">
        <v>56</v>
      </c>
      <c r="B20" s="6" t="s">
        <v>130</v>
      </c>
      <c r="C20" s="3" t="s">
        <v>125</v>
      </c>
      <c r="D20" s="6"/>
      <c r="E20" s="6"/>
      <c r="F20" s="6"/>
      <c r="G20" s="6" t="n">
        <v>0.7</v>
      </c>
      <c r="H20" s="6" t="n">
        <v>700</v>
      </c>
      <c r="I20" s="6" t="n">
        <v>7</v>
      </c>
      <c r="J20" s="6" t="n">
        <v>32</v>
      </c>
      <c r="K20" s="6"/>
      <c r="L20" s="6" t="n">
        <v>850</v>
      </c>
      <c r="M20" s="6" t="n">
        <v>850</v>
      </c>
      <c r="N20" s="6"/>
      <c r="O20" s="6"/>
      <c r="P20" s="6"/>
      <c r="Q20" s="7" t="str">
        <f aca="false">IF(AND(ISNUMBER(N20),ISNUMBER(J20),ISNUMBER(O20)),IF(AND(N20&gt;0,J20&gt;0,O20&gt;0),N20/J20*O20,"N/A"),"N/A")</f>
        <v>N/A</v>
      </c>
      <c r="R20" s="8" t="str">
        <f aca="false">IF(ISNUMBER(Q20),ROUND(1+9*PERCENTRANK($Q$2:$Q$140,Q20),1),"N/A")</f>
        <v>N/A</v>
      </c>
      <c r="S20" s="6"/>
      <c r="T20" s="6" t="n">
        <v>40000</v>
      </c>
      <c r="U20" s="6"/>
      <c r="V20" s="6" t="s">
        <v>70</v>
      </c>
      <c r="W20" s="6" t="n">
        <v>50</v>
      </c>
      <c r="X20" s="6" t="n">
        <v>22</v>
      </c>
      <c r="Y20" s="6" t="n">
        <v>5</v>
      </c>
      <c r="Z20" s="6" t="n">
        <v>100</v>
      </c>
      <c r="AA20" s="6" t="n">
        <v>0.1</v>
      </c>
      <c r="AB20" s="6"/>
      <c r="AC20" s="6"/>
      <c r="AD20" s="6"/>
      <c r="AE20" s="6" t="n">
        <v>0.08</v>
      </c>
      <c r="AF20" s="7" t="n">
        <f aca="false">IF(AND(ISNUMBER(G20),ISNUMBER(AE20)),IF(AE20&gt;0,G20/AE20,"N/A"),"N/A")</f>
        <v>8.75</v>
      </c>
      <c r="AG20" s="6" t="s">
        <v>131</v>
      </c>
      <c r="AH20" s="6" t="s">
        <v>63</v>
      </c>
      <c r="AI20" s="6"/>
      <c r="AJ20" s="6"/>
    </row>
    <row r="21" customFormat="false" ht="25.5" hidden="true" customHeight="true" outlineLevel="0" collapsed="false">
      <c r="A21" s="6" t="s">
        <v>56</v>
      </c>
      <c r="B21" s="6" t="s">
        <v>132</v>
      </c>
      <c r="C21" s="3" t="s">
        <v>125</v>
      </c>
      <c r="D21" s="6"/>
      <c r="E21" s="6"/>
      <c r="F21" s="6"/>
      <c r="G21" s="6" t="n">
        <v>5</v>
      </c>
      <c r="H21" s="6" t="n">
        <v>2500</v>
      </c>
      <c r="I21" s="6" t="n">
        <v>7</v>
      </c>
      <c r="J21" s="6" t="n">
        <v>30</v>
      </c>
      <c r="K21" s="6"/>
      <c r="L21" s="6" t="n">
        <v>1700</v>
      </c>
      <c r="M21" s="6"/>
      <c r="N21" s="6"/>
      <c r="O21" s="6"/>
      <c r="P21" s="6"/>
      <c r="Q21" s="7" t="str">
        <f aca="false">IF(AND(ISNUMBER(N21),ISNUMBER(J21),ISNUMBER(O21)),IF(AND(N21&gt;0,J21&gt;0,O21&gt;0),N21/J21*O21,"N/A"),"N/A")</f>
        <v>N/A</v>
      </c>
      <c r="R21" s="8" t="str">
        <f aca="false">IF(ISNUMBER(Q21),ROUND(1+9*PERCENTRANK($Q$2:$Q$140,Q21),1),"N/A")</f>
        <v>N/A</v>
      </c>
      <c r="S21" s="6"/>
      <c r="T21" s="6" t="n">
        <v>4500</v>
      </c>
      <c r="U21" s="6"/>
      <c r="V21" s="6" t="n">
        <v>200</v>
      </c>
      <c r="W21" s="6" t="n">
        <v>30</v>
      </c>
      <c r="X21" s="6" t="n">
        <v>20</v>
      </c>
      <c r="Y21" s="6" t="n">
        <v>1</v>
      </c>
      <c r="Z21" s="6" t="n">
        <v>45</v>
      </c>
      <c r="AA21" s="6" t="n">
        <v>3.5</v>
      </c>
      <c r="AB21" s="6"/>
      <c r="AC21" s="6"/>
      <c r="AD21" s="6"/>
      <c r="AE21" s="6" t="n">
        <v>0.003</v>
      </c>
      <c r="AF21" s="7" t="n">
        <f aca="false">IF(AND(ISNUMBER(G21),ISNUMBER(AE21)),IF(AE21&gt;0,G21/AE21,"N/A"),"N/A")</f>
        <v>1666.66666666667</v>
      </c>
      <c r="AG21" s="6" t="s">
        <v>131</v>
      </c>
      <c r="AH21" s="6" t="s">
        <v>63</v>
      </c>
      <c r="AI21" s="6"/>
      <c r="AJ21" s="6"/>
    </row>
    <row r="22" customFormat="false" ht="25.5" hidden="true" customHeight="true" outlineLevel="0" collapsed="false">
      <c r="A22" s="6" t="s">
        <v>56</v>
      </c>
      <c r="B22" s="6" t="s">
        <v>133</v>
      </c>
      <c r="C22" s="3" t="s">
        <v>125</v>
      </c>
      <c r="D22" s="6"/>
      <c r="E22" s="6"/>
      <c r="F22" s="6"/>
      <c r="G22" s="6" t="n">
        <v>15</v>
      </c>
      <c r="H22" s="6" t="n">
        <v>700</v>
      </c>
      <c r="I22" s="6" t="n">
        <v>7</v>
      </c>
      <c r="J22" s="6" t="n">
        <v>45</v>
      </c>
      <c r="K22" s="6"/>
      <c r="L22" s="6" t="n">
        <v>850</v>
      </c>
      <c r="M22" s="6" t="n">
        <v>850</v>
      </c>
      <c r="N22" s="6"/>
      <c r="O22" s="6"/>
      <c r="P22" s="6"/>
      <c r="Q22" s="7" t="str">
        <f aca="false">IF(AND(ISNUMBER(N22),ISNUMBER(J22),ISNUMBER(O22)),IF(AND(N22&gt;0,J22&gt;0,O22&gt;0),N22/J22*O22,"N/A"),"N/A")</f>
        <v>N/A</v>
      </c>
      <c r="R22" s="8" t="str">
        <f aca="false">IF(ISNUMBER(Q22),ROUND(1+9*PERCENTRANK($Q$2:$Q$140,Q22),1),"N/A")</f>
        <v>N/A</v>
      </c>
      <c r="S22" s="6"/>
      <c r="T22" s="6" t="n">
        <v>40000</v>
      </c>
      <c r="U22" s="6"/>
      <c r="V22" s="6" t="s">
        <v>70</v>
      </c>
      <c r="W22" s="6" t="n">
        <v>30</v>
      </c>
      <c r="X22" s="6" t="n">
        <v>10</v>
      </c>
      <c r="Y22" s="6" t="n">
        <v>6</v>
      </c>
      <c r="Z22" s="6" t="n">
        <v>7</v>
      </c>
      <c r="AA22" s="6" t="n">
        <v>0.1</v>
      </c>
      <c r="AB22" s="6"/>
      <c r="AC22" s="6"/>
      <c r="AD22" s="6"/>
      <c r="AE22" s="6" t="n">
        <v>0.08</v>
      </c>
      <c r="AF22" s="7" t="n">
        <f aca="false">IF(AND(ISNUMBER(G22),ISNUMBER(AE22)),IF(AE22&gt;0,G22/AE22,"N/A"),"N/A")</f>
        <v>187.5</v>
      </c>
      <c r="AG22" s="6" t="s">
        <v>131</v>
      </c>
      <c r="AH22" s="6" t="s">
        <v>77</v>
      </c>
      <c r="AI22" s="6"/>
      <c r="AJ22" s="6"/>
    </row>
    <row r="23" customFormat="false" ht="25.5" hidden="true" customHeight="true" outlineLevel="0" collapsed="false">
      <c r="A23" s="6" t="s">
        <v>56</v>
      </c>
      <c r="B23" s="6" t="s">
        <v>134</v>
      </c>
      <c r="C23" s="3" t="s">
        <v>125</v>
      </c>
      <c r="D23" s="6"/>
      <c r="E23" s="6"/>
      <c r="F23" s="6"/>
      <c r="G23" s="6" t="n">
        <v>20</v>
      </c>
      <c r="H23" s="6" t="n">
        <v>3000</v>
      </c>
      <c r="I23" s="6" t="n">
        <v>9</v>
      </c>
      <c r="J23" s="6" t="n">
        <v>50</v>
      </c>
      <c r="K23" s="6"/>
      <c r="L23" s="6" t="n">
        <v>2380</v>
      </c>
      <c r="M23" s="6"/>
      <c r="N23" s="6"/>
      <c r="O23" s="6"/>
      <c r="P23" s="6"/>
      <c r="Q23" s="7" t="str">
        <f aca="false">IF(AND(ISNUMBER(N23),ISNUMBER(J23),ISNUMBER(O23)),IF(AND(N23&gt;0,J23&gt;0,O23&gt;0),N23/J23*O23,"N/A"),"N/A")</f>
        <v>N/A</v>
      </c>
      <c r="R23" s="8" t="str">
        <f aca="false">IF(ISNUMBER(Q23),ROUND(1+9*PERCENTRANK($Q$2:$Q$140,Q23),1),"N/A")</f>
        <v>N/A</v>
      </c>
      <c r="S23" s="6" t="n">
        <v>300</v>
      </c>
      <c r="T23" s="6" t="n">
        <v>50000</v>
      </c>
      <c r="U23" s="6"/>
      <c r="V23" s="6" t="s">
        <v>70</v>
      </c>
      <c r="W23" s="6" t="n">
        <v>50</v>
      </c>
      <c r="X23" s="6" t="n">
        <v>20</v>
      </c>
      <c r="Y23" s="6" t="n">
        <v>600</v>
      </c>
      <c r="Z23" s="6" t="n">
        <v>1</v>
      </c>
      <c r="AA23" s="6" t="n">
        <v>0.2</v>
      </c>
      <c r="AB23" s="6"/>
      <c r="AC23" s="6"/>
      <c r="AD23" s="6"/>
      <c r="AE23" s="6" t="n">
        <v>0.03</v>
      </c>
      <c r="AF23" s="7" t="n">
        <f aca="false">IF(AND(ISNUMBER(G23),ISNUMBER(AE23)),IF(AE23&gt;0,G23/AE23,"N/A"),"N/A")</f>
        <v>666.666666666667</v>
      </c>
      <c r="AG23" s="6" t="s">
        <v>131</v>
      </c>
      <c r="AH23" s="6" t="s">
        <v>63</v>
      </c>
      <c r="AI23" s="6"/>
      <c r="AJ23" s="6"/>
    </row>
    <row r="24" customFormat="false" ht="25.5" hidden="true" customHeight="true" outlineLevel="0" collapsed="false">
      <c r="A24" s="6" t="s">
        <v>56</v>
      </c>
      <c r="B24" s="6" t="s">
        <v>135</v>
      </c>
      <c r="C24" s="3" t="s">
        <v>125</v>
      </c>
      <c r="D24" s="6"/>
      <c r="E24" s="6"/>
      <c r="F24" s="6"/>
      <c r="G24" s="6" t="n">
        <v>0.01</v>
      </c>
      <c r="H24" s="6" t="n">
        <v>400</v>
      </c>
      <c r="I24" s="6" t="n">
        <v>4</v>
      </c>
      <c r="J24" s="6" t="n">
        <v>0.27</v>
      </c>
      <c r="K24" s="6"/>
      <c r="L24" s="6" t="n">
        <v>1100</v>
      </c>
      <c r="M24" s="6"/>
      <c r="N24" s="6"/>
      <c r="O24" s="6"/>
      <c r="P24" s="6"/>
      <c r="Q24" s="7" t="str">
        <f aca="false">IF(AND(ISNUMBER(N24),ISNUMBER(J24),ISNUMBER(O24)),IF(AND(N24&gt;0,J24&gt;0,O24&gt;0),N24/J24*O24,"N/A"),"N/A")</f>
        <v>N/A</v>
      </c>
      <c r="R24" s="8" t="str">
        <f aca="false">IF(ISNUMBER(Q24),ROUND(1+9*PERCENTRANK($Q$2:$Q$140,Q24),1),"N/A")</f>
        <v>N/A</v>
      </c>
      <c r="S24" s="6"/>
      <c r="T24" s="6" t="n">
        <v>2000</v>
      </c>
      <c r="U24" s="6"/>
      <c r="V24" s="6" t="s">
        <v>70</v>
      </c>
      <c r="W24" s="6" t="s">
        <v>70</v>
      </c>
      <c r="X24" s="6" t="n">
        <v>1500</v>
      </c>
      <c r="Y24" s="6" t="n">
        <v>250</v>
      </c>
      <c r="Z24" s="6" t="n">
        <v>0</v>
      </c>
      <c r="AA24" s="6" t="n">
        <v>2</v>
      </c>
      <c r="AB24" s="6"/>
      <c r="AC24" s="6"/>
      <c r="AD24" s="6"/>
      <c r="AE24" s="6" t="n">
        <v>3E-005</v>
      </c>
      <c r="AF24" s="7" t="n">
        <f aca="false">IF(AND(ISNUMBER(G24),ISNUMBER(AE24)),IF(AE24&gt;0,G24/AE24,"N/A"),"N/A")</f>
        <v>333.333333333333</v>
      </c>
      <c r="AG24" s="6" t="s">
        <v>126</v>
      </c>
      <c r="AH24" s="6" t="s">
        <v>63</v>
      </c>
      <c r="AI24" s="3" t="s">
        <v>136</v>
      </c>
      <c r="AJ24" s="6"/>
    </row>
    <row r="25" customFormat="false" ht="25.5" hidden="true" customHeight="true" outlineLevel="0" collapsed="false">
      <c r="A25" s="6" t="s">
        <v>56</v>
      </c>
      <c r="B25" s="3" t="s">
        <v>137</v>
      </c>
      <c r="C25" s="3" t="s">
        <v>125</v>
      </c>
      <c r="D25" s="6"/>
      <c r="E25" s="6"/>
      <c r="F25" s="6"/>
      <c r="G25" s="6" t="n">
        <v>0.01</v>
      </c>
      <c r="H25" s="6" t="n">
        <v>400</v>
      </c>
      <c r="I25" s="6" t="n">
        <v>4</v>
      </c>
      <c r="J25" s="6" t="n">
        <v>0.27</v>
      </c>
      <c r="K25" s="6"/>
      <c r="L25" s="6" t="n">
        <v>1100</v>
      </c>
      <c r="M25" s="6"/>
      <c r="N25" s="6"/>
      <c r="O25" s="6"/>
      <c r="P25" s="6"/>
      <c r="Q25" s="7" t="str">
        <f aca="false">IF(AND(ISNUMBER(N25),ISNUMBER(J25),ISNUMBER(O25)),IF(AND(N25&gt;0,J25&gt;0,O25&gt;0),N25/J25*O25,"N/A"),"N/A")</f>
        <v>N/A</v>
      </c>
      <c r="R25" s="8" t="str">
        <f aca="false">IF(ISNUMBER(Q25),ROUND(1+9*PERCENTRANK($Q$2:$Q$140,Q25),1),"N/A")</f>
        <v>N/A</v>
      </c>
      <c r="S25" s="6"/>
      <c r="T25" s="6" t="n">
        <v>3000</v>
      </c>
      <c r="U25" s="6"/>
      <c r="V25" s="6" t="n">
        <v>4000</v>
      </c>
      <c r="W25" s="6" t="s">
        <v>70</v>
      </c>
      <c r="X25" s="6" t="n">
        <v>4500</v>
      </c>
      <c r="Y25" s="6" t="n">
        <v>1500</v>
      </c>
      <c r="Z25" s="6" t="n">
        <v>4</v>
      </c>
      <c r="AA25" s="6" t="n">
        <v>3</v>
      </c>
      <c r="AB25" s="6"/>
      <c r="AC25" s="6"/>
      <c r="AD25" s="6"/>
      <c r="AE25" s="6" t="n">
        <v>0.0002</v>
      </c>
      <c r="AF25" s="7" t="n">
        <f aca="false">IF(AND(ISNUMBER(G25),ISNUMBER(AE25)),IF(AE25&gt;0,G25/AE25,"N/A"),"N/A")</f>
        <v>50</v>
      </c>
      <c r="AG25" s="6" t="s">
        <v>131</v>
      </c>
      <c r="AH25" s="3" t="s">
        <v>129</v>
      </c>
      <c r="AI25" s="6"/>
      <c r="AJ25" s="6"/>
    </row>
    <row r="26" customFormat="false" ht="25.5" hidden="true" customHeight="true" outlineLevel="0" collapsed="false">
      <c r="A26" s="6" t="s">
        <v>56</v>
      </c>
      <c r="B26" s="3" t="s">
        <v>138</v>
      </c>
      <c r="C26" s="3" t="s">
        <v>125</v>
      </c>
      <c r="D26" s="6"/>
      <c r="E26" s="6"/>
      <c r="F26" s="6"/>
      <c r="G26" s="6" t="n">
        <v>0.01</v>
      </c>
      <c r="H26" s="6" t="n">
        <v>400</v>
      </c>
      <c r="I26" s="6" t="n">
        <v>4</v>
      </c>
      <c r="J26" s="6" t="n">
        <v>0.27</v>
      </c>
      <c r="K26" s="6"/>
      <c r="L26" s="6" t="n">
        <v>1100</v>
      </c>
      <c r="M26" s="6"/>
      <c r="N26" s="6"/>
      <c r="O26" s="6"/>
      <c r="P26" s="6"/>
      <c r="Q26" s="7" t="str">
        <f aca="false">IF(AND(ISNUMBER(N26),ISNUMBER(J26),ISNUMBER(O26)),IF(AND(N26&gt;0,J26&gt;0,O26&gt;0),N26/J26*O26,"N/A"),"N/A")</f>
        <v>N/A</v>
      </c>
      <c r="R26" s="8" t="str">
        <f aca="false">IF(ISNUMBER(Q26),ROUND(1+9*PERCENTRANK($Q$2:$Q$140,Q26),1),"N/A")</f>
        <v>N/A</v>
      </c>
      <c r="S26" s="6"/>
      <c r="T26" s="6" t="n">
        <v>1800</v>
      </c>
      <c r="U26" s="6"/>
      <c r="V26" s="6" t="s">
        <v>70</v>
      </c>
      <c r="W26" s="6" t="s">
        <v>70</v>
      </c>
      <c r="X26" s="6" t="n">
        <v>6000</v>
      </c>
      <c r="Y26" s="6" t="n">
        <v>500</v>
      </c>
      <c r="Z26" s="6" t="n">
        <v>0</v>
      </c>
      <c r="AA26" s="6" t="n">
        <v>5</v>
      </c>
      <c r="AB26" s="6"/>
      <c r="AC26" s="6"/>
      <c r="AD26" s="6"/>
      <c r="AE26" s="6" t="n">
        <v>3E-005</v>
      </c>
      <c r="AF26" s="7" t="n">
        <f aca="false">IF(AND(ISNUMBER(G26),ISNUMBER(AE26)),IF(AE26&gt;0,G26/AE26,"N/A"),"N/A")</f>
        <v>333.333333333333</v>
      </c>
      <c r="AG26" s="6" t="s">
        <v>126</v>
      </c>
      <c r="AH26" s="6" t="s">
        <v>63</v>
      </c>
      <c r="AI26" s="3" t="s">
        <v>139</v>
      </c>
      <c r="AJ26" s="6"/>
    </row>
    <row r="27" customFormat="false" ht="38.25" hidden="true" customHeight="true" outlineLevel="0" collapsed="false">
      <c r="A27" s="6" t="s">
        <v>56</v>
      </c>
      <c r="B27" s="3" t="s">
        <v>140</v>
      </c>
      <c r="C27" s="3" t="s">
        <v>125</v>
      </c>
      <c r="D27" s="6"/>
      <c r="E27" s="6"/>
      <c r="F27" s="6"/>
      <c r="G27" s="6" t="n">
        <v>0.01</v>
      </c>
      <c r="H27" s="6" t="n">
        <v>400</v>
      </c>
      <c r="I27" s="6" t="n">
        <v>4</v>
      </c>
      <c r="J27" s="6" t="n">
        <v>0.27</v>
      </c>
      <c r="K27" s="6"/>
      <c r="L27" s="6" t="n">
        <v>1040</v>
      </c>
      <c r="M27" s="6" t="n">
        <v>1100</v>
      </c>
      <c r="N27" s="6"/>
      <c r="O27" s="6"/>
      <c r="P27" s="6"/>
      <c r="Q27" s="7" t="str">
        <f aca="false">IF(AND(ISNUMBER(N27),ISNUMBER(J27),ISNUMBER(O27)),IF(AND(N27&gt;0,J27&gt;0,O27&gt;0),N27/J27*O27,"N/A"),"N/A")</f>
        <v>N/A</v>
      </c>
      <c r="R27" s="8" t="str">
        <f aca="false">IF(ISNUMBER(Q27),ROUND(1+9*PERCENTRANK($Q$2:$Q$140,Q27),1),"N/A")</f>
        <v>N/A</v>
      </c>
      <c r="S27" s="6"/>
      <c r="T27" s="6" t="n">
        <v>1600</v>
      </c>
      <c r="U27" s="6"/>
      <c r="V27" s="6" t="s">
        <v>70</v>
      </c>
      <c r="W27" s="6" t="n">
        <v>250</v>
      </c>
      <c r="X27" s="6" t="n">
        <v>1200</v>
      </c>
      <c r="Y27" s="6" t="n">
        <v>500</v>
      </c>
      <c r="Z27" s="6" t="n">
        <v>0</v>
      </c>
      <c r="AA27" s="6" t="n">
        <v>5</v>
      </c>
      <c r="AB27" s="6"/>
      <c r="AC27" s="6"/>
      <c r="AD27" s="6"/>
      <c r="AE27" s="6" t="n">
        <v>3E-005</v>
      </c>
      <c r="AF27" s="7" t="n">
        <f aca="false">IF(AND(ISNUMBER(G27),ISNUMBER(AE27)),IF(AE27&gt;0,G27/AE27,"N/A"),"N/A")</f>
        <v>333.333333333333</v>
      </c>
      <c r="AG27" s="6" t="s">
        <v>131</v>
      </c>
      <c r="AH27" s="3" t="s">
        <v>129</v>
      </c>
      <c r="AI27" s="3" t="s">
        <v>141</v>
      </c>
      <c r="AJ27" s="6"/>
    </row>
    <row r="28" customFormat="false" ht="25.5" hidden="true" customHeight="true" outlineLevel="0" collapsed="false">
      <c r="A28" s="6" t="s">
        <v>56</v>
      </c>
      <c r="B28" s="6" t="s">
        <v>142</v>
      </c>
      <c r="C28" s="3" t="s">
        <v>125</v>
      </c>
      <c r="D28" s="6"/>
      <c r="E28" s="6"/>
      <c r="F28" s="6"/>
      <c r="G28" s="6" t="n">
        <v>0.04</v>
      </c>
      <c r="H28" s="6" t="n">
        <v>420</v>
      </c>
      <c r="I28" s="6" t="n">
        <v>5</v>
      </c>
      <c r="J28" s="6" t="n">
        <v>0.4</v>
      </c>
      <c r="K28" s="6"/>
      <c r="L28" s="6" t="n">
        <v>980</v>
      </c>
      <c r="M28" s="6" t="n">
        <v>980</v>
      </c>
      <c r="N28" s="6"/>
      <c r="O28" s="6"/>
      <c r="P28" s="6"/>
      <c r="Q28" s="7" t="str">
        <f aca="false">IF(AND(ISNUMBER(N28),ISNUMBER(J28),ISNUMBER(O28)),IF(AND(N28&gt;0,J28&gt;0,O28&gt;0),N28/J28*O28,"N/A"),"N/A")</f>
        <v>N/A</v>
      </c>
      <c r="R28" s="8" t="str">
        <f aca="false">IF(ISNUMBER(Q28),ROUND(1+9*PERCENTRANK($Q$2:$Q$140,Q28),1),"N/A")</f>
        <v>N/A</v>
      </c>
      <c r="S28" s="6"/>
      <c r="T28" s="6" t="n">
        <v>3000</v>
      </c>
      <c r="U28" s="6"/>
      <c r="V28" s="6" t="s">
        <v>70</v>
      </c>
      <c r="W28" s="6" t="s">
        <v>70</v>
      </c>
      <c r="X28" s="6" t="n">
        <v>1800</v>
      </c>
      <c r="Y28" s="6" t="n">
        <v>30</v>
      </c>
      <c r="Z28" s="6" t="n">
        <v>40</v>
      </c>
      <c r="AA28" s="6" t="n">
        <v>5</v>
      </c>
      <c r="AB28" s="6"/>
      <c r="AC28" s="6"/>
      <c r="AD28" s="6"/>
      <c r="AE28" s="6" t="n">
        <v>6E-005</v>
      </c>
      <c r="AF28" s="7" t="n">
        <f aca="false">IF(AND(ISNUMBER(G28),ISNUMBER(AE28)),IF(AE28&gt;0,G28/AE28,"N/A"),"N/A")</f>
        <v>666.666666666667</v>
      </c>
      <c r="AG28" s="6" t="s">
        <v>126</v>
      </c>
      <c r="AH28" s="6" t="s">
        <v>63</v>
      </c>
      <c r="AI28" s="6"/>
      <c r="AJ28" s="6"/>
    </row>
    <row r="29" customFormat="false" ht="38.25" hidden="true" customHeight="true" outlineLevel="0" collapsed="false">
      <c r="A29" s="6" t="s">
        <v>56</v>
      </c>
      <c r="B29" s="6" t="s">
        <v>143</v>
      </c>
      <c r="C29" s="3" t="s">
        <v>125</v>
      </c>
      <c r="D29" s="6"/>
      <c r="E29" s="6"/>
      <c r="F29" s="6"/>
      <c r="G29" s="6" t="n">
        <v>0.04</v>
      </c>
      <c r="H29" s="6" t="n">
        <v>420</v>
      </c>
      <c r="I29" s="6" t="n">
        <v>5</v>
      </c>
      <c r="J29" s="6" t="n">
        <v>0.4</v>
      </c>
      <c r="K29" s="6"/>
      <c r="L29" s="6" t="n">
        <v>1100</v>
      </c>
      <c r="M29" s="6"/>
      <c r="N29" s="6"/>
      <c r="O29" s="6"/>
      <c r="P29" s="6"/>
      <c r="Q29" s="7" t="str">
        <f aca="false">IF(AND(ISNUMBER(N29),ISNUMBER(J29),ISNUMBER(O29)),IF(AND(N29&gt;0,J29&gt;0,O29&gt;0),N29/J29*O29,"N/A"),"N/A")</f>
        <v>N/A</v>
      </c>
      <c r="R29" s="8" t="str">
        <f aca="false">IF(ISNUMBER(Q29),ROUND(1+9*PERCENTRANK($Q$2:$Q$140,Q29),1),"N/A")</f>
        <v>N/A</v>
      </c>
      <c r="S29" s="6"/>
      <c r="T29" s="6" t="n">
        <v>2200</v>
      </c>
      <c r="U29" s="6"/>
      <c r="V29" s="6" t="s">
        <v>70</v>
      </c>
      <c r="W29" s="6" t="s">
        <v>70</v>
      </c>
      <c r="X29" s="6" t="n">
        <v>600</v>
      </c>
      <c r="Y29" s="6" t="n">
        <v>30</v>
      </c>
      <c r="Z29" s="6" t="n">
        <v>20</v>
      </c>
      <c r="AA29" s="6" t="n">
        <v>6</v>
      </c>
      <c r="AB29" s="6"/>
      <c r="AC29" s="6"/>
      <c r="AD29" s="6"/>
      <c r="AE29" s="6" t="n">
        <v>6E-005</v>
      </c>
      <c r="AF29" s="7" t="n">
        <f aca="false">IF(AND(ISNUMBER(G29),ISNUMBER(AE29)),IF(AE29&gt;0,G29/AE29,"N/A"),"N/A")</f>
        <v>666.666666666667</v>
      </c>
      <c r="AG29" s="6" t="s">
        <v>126</v>
      </c>
      <c r="AH29" s="6" t="s">
        <v>63</v>
      </c>
      <c r="AI29" s="3" t="s">
        <v>144</v>
      </c>
      <c r="AJ29" s="6"/>
    </row>
    <row r="30" customFormat="false" ht="25.5" hidden="true" customHeight="true" outlineLevel="0" collapsed="false">
      <c r="A30" s="6" t="s">
        <v>56</v>
      </c>
      <c r="B30" s="6" t="s">
        <v>145</v>
      </c>
      <c r="C30" s="3" t="s">
        <v>125</v>
      </c>
      <c r="D30" s="6"/>
      <c r="E30" s="6"/>
      <c r="F30" s="6"/>
      <c r="G30" s="6" t="n">
        <v>0.04</v>
      </c>
      <c r="H30" s="6" t="n">
        <v>500</v>
      </c>
      <c r="I30" s="6" t="n">
        <v>4</v>
      </c>
      <c r="J30" s="6" t="n">
        <v>0.4</v>
      </c>
      <c r="K30" s="6"/>
      <c r="L30" s="6" t="n">
        <v>1100</v>
      </c>
      <c r="M30" s="6"/>
      <c r="N30" s="6"/>
      <c r="O30" s="6"/>
      <c r="P30" s="6"/>
      <c r="Q30" s="7" t="str">
        <f aca="false">IF(AND(ISNUMBER(N30),ISNUMBER(J30),ISNUMBER(O30)),IF(AND(N30&gt;0,J30&gt;0,O30&gt;0),N30/J30*O30,"N/A"),"N/A")</f>
        <v>N/A</v>
      </c>
      <c r="R30" s="8" t="str">
        <f aca="false">IF(ISNUMBER(Q30),ROUND(1+9*PERCENTRANK($Q$2:$Q$140,Q30),1),"N/A")</f>
        <v>N/A</v>
      </c>
      <c r="S30" s="6"/>
      <c r="T30" s="6" t="n">
        <v>1800</v>
      </c>
      <c r="U30" s="6"/>
      <c r="V30" s="6" t="s">
        <v>70</v>
      </c>
      <c r="W30" s="6" t="s">
        <v>70</v>
      </c>
      <c r="X30" s="6" t="n">
        <v>3200</v>
      </c>
      <c r="Y30" s="6" t="n">
        <v>960</v>
      </c>
      <c r="Z30" s="6" t="n">
        <v>0</v>
      </c>
      <c r="AA30" s="6" t="n">
        <v>5</v>
      </c>
      <c r="AB30" s="6"/>
      <c r="AC30" s="6"/>
      <c r="AD30" s="6"/>
      <c r="AE30" s="6" t="n">
        <v>4E-005</v>
      </c>
      <c r="AF30" s="7" t="n">
        <f aca="false">IF(AND(ISNUMBER(G30),ISNUMBER(AE30)),IF(AE30&gt;0,G30/AE30,"N/A"),"N/A")</f>
        <v>1000</v>
      </c>
      <c r="AG30" s="6" t="s">
        <v>126</v>
      </c>
      <c r="AH30" s="6" t="s">
        <v>63</v>
      </c>
      <c r="AI30" s="3" t="s">
        <v>146</v>
      </c>
      <c r="AJ30" s="6"/>
    </row>
    <row r="31" customFormat="false" ht="38.25" hidden="true" customHeight="true" outlineLevel="0" collapsed="false">
      <c r="A31" s="6" t="s">
        <v>56</v>
      </c>
      <c r="B31" s="6" t="s">
        <v>147</v>
      </c>
      <c r="C31" s="3" t="s">
        <v>125</v>
      </c>
      <c r="D31" s="6"/>
      <c r="E31" s="6"/>
      <c r="F31" s="6"/>
      <c r="G31" s="6" t="n">
        <v>0.05</v>
      </c>
      <c r="H31" s="6" t="n">
        <v>500</v>
      </c>
      <c r="I31" s="6" t="n">
        <v>4</v>
      </c>
      <c r="J31" s="6" t="n">
        <v>0.45</v>
      </c>
      <c r="K31" s="6"/>
      <c r="L31" s="6" t="n">
        <v>1100</v>
      </c>
      <c r="M31" s="6"/>
      <c r="N31" s="6"/>
      <c r="O31" s="6"/>
      <c r="P31" s="6"/>
      <c r="Q31" s="7" t="str">
        <f aca="false">IF(AND(ISNUMBER(N31),ISNUMBER(J31),ISNUMBER(O31)),IF(AND(N31&gt;0,J31&gt;0,O31&gt;0),N31/J31*O31,"N/A"),"N/A")</f>
        <v>N/A</v>
      </c>
      <c r="R31" s="8" t="str">
        <f aca="false">IF(ISNUMBER(Q31),ROUND(1+9*PERCENTRANK($Q$2:$Q$140,Q31),1),"N/A")</f>
        <v>N/A</v>
      </c>
      <c r="S31" s="6"/>
      <c r="T31" s="6" t="n">
        <v>2000</v>
      </c>
      <c r="U31" s="6"/>
      <c r="V31" s="6" t="s">
        <v>70</v>
      </c>
      <c r="W31" s="6" t="s">
        <v>70</v>
      </c>
      <c r="X31" s="6" t="n">
        <v>1700</v>
      </c>
      <c r="Y31" s="6" t="n">
        <v>540</v>
      </c>
      <c r="Z31" s="6" t="n">
        <v>0</v>
      </c>
      <c r="AA31" s="6" t="n">
        <v>2.5</v>
      </c>
      <c r="AB31" s="6"/>
      <c r="AC31" s="6"/>
      <c r="AD31" s="6"/>
      <c r="AE31" s="6" t="n">
        <v>5E-005</v>
      </c>
      <c r="AF31" s="7" t="n">
        <f aca="false">IF(AND(ISNUMBER(G31),ISNUMBER(AE31)),IF(AE31&gt;0,G31/AE31,"N/A"),"N/A")</f>
        <v>1000</v>
      </c>
      <c r="AG31" s="6" t="s">
        <v>126</v>
      </c>
      <c r="AH31" s="6" t="s">
        <v>63</v>
      </c>
      <c r="AI31" s="3" t="s">
        <v>148</v>
      </c>
      <c r="AJ31" s="6"/>
    </row>
    <row r="32" customFormat="false" ht="25.5" hidden="true" customHeight="true" outlineLevel="0" collapsed="false">
      <c r="A32" s="6" t="s">
        <v>56</v>
      </c>
      <c r="B32" s="6" t="s">
        <v>149</v>
      </c>
      <c r="C32" s="3" t="s">
        <v>125</v>
      </c>
      <c r="D32" s="6"/>
      <c r="E32" s="6"/>
      <c r="F32" s="6"/>
      <c r="G32" s="6" t="n">
        <v>0.1</v>
      </c>
      <c r="H32" s="6" t="n">
        <v>400</v>
      </c>
      <c r="I32" s="6" t="n">
        <v>5</v>
      </c>
      <c r="J32" s="6" t="n">
        <v>0.85</v>
      </c>
      <c r="K32" s="6"/>
      <c r="L32" s="6" t="n">
        <v>1200</v>
      </c>
      <c r="M32" s="6"/>
      <c r="N32" s="6"/>
      <c r="O32" s="6"/>
      <c r="P32" s="6"/>
      <c r="Q32" s="7" t="str">
        <f aca="false">IF(AND(ISNUMBER(N32),ISNUMBER(J32),ISNUMBER(O32)),IF(AND(N32&gt;0,J32&gt;0,O32&gt;0),N32/J32*O32,"N/A"),"N/A")</f>
        <v>N/A</v>
      </c>
      <c r="R32" s="8" t="str">
        <f aca="false">IF(ISNUMBER(Q32),ROUND(1+9*PERCENTRANK($Q$2:$Q$140,Q32),1),"N/A")</f>
        <v>N/A</v>
      </c>
      <c r="S32" s="6"/>
      <c r="T32" s="6" t="n">
        <v>4000</v>
      </c>
      <c r="U32" s="6"/>
      <c r="V32" s="6" t="s">
        <v>70</v>
      </c>
      <c r="W32" s="6" t="s">
        <v>70</v>
      </c>
      <c r="X32" s="6" t="n">
        <v>4000</v>
      </c>
      <c r="Y32" s="6" t="n">
        <v>1200</v>
      </c>
      <c r="Z32" s="6" t="n">
        <v>4</v>
      </c>
      <c r="AA32" s="6" t="n">
        <v>4</v>
      </c>
      <c r="AB32" s="6"/>
      <c r="AC32" s="6"/>
      <c r="AD32" s="6"/>
      <c r="AE32" s="6" t="n">
        <v>0.0003</v>
      </c>
      <c r="AF32" s="7" t="n">
        <f aca="false">IF(AND(ISNUMBER(G32),ISNUMBER(AE32)),IF(AE32&gt;0,G32/AE32,"N/A"),"N/A")</f>
        <v>333.333333333333</v>
      </c>
      <c r="AG32" s="6" t="s">
        <v>126</v>
      </c>
      <c r="AH32" s="3" t="s">
        <v>129</v>
      </c>
      <c r="AI32" s="6"/>
      <c r="AJ32" s="6"/>
    </row>
    <row r="33" customFormat="false" ht="25.5" hidden="true" customHeight="true" outlineLevel="0" collapsed="false">
      <c r="A33" s="6" t="s">
        <v>56</v>
      </c>
      <c r="B33" s="6" t="s">
        <v>150</v>
      </c>
      <c r="C33" s="3" t="s">
        <v>125</v>
      </c>
      <c r="D33" s="6"/>
      <c r="E33" s="6"/>
      <c r="F33" s="6"/>
      <c r="G33" s="6" t="n">
        <v>0.1</v>
      </c>
      <c r="H33" s="6" t="n">
        <v>650</v>
      </c>
      <c r="I33" s="6" t="n">
        <v>5</v>
      </c>
      <c r="J33" s="6" t="n">
        <v>0.5</v>
      </c>
      <c r="K33" s="6"/>
      <c r="L33" s="6" t="n">
        <v>805</v>
      </c>
      <c r="M33" s="6"/>
      <c r="N33" s="6"/>
      <c r="O33" s="6"/>
      <c r="P33" s="6"/>
      <c r="Q33" s="7" t="str">
        <f aca="false">IF(AND(ISNUMBER(N33),ISNUMBER(J33),ISNUMBER(O33)),IF(AND(N33&gt;0,J33&gt;0,O33&gt;0),N33/J33*O33,"N/A"),"N/A")</f>
        <v>N/A</v>
      </c>
      <c r="R33" s="8" t="str">
        <f aca="false">IF(ISNUMBER(Q33),ROUND(1+9*PERCENTRANK($Q$2:$Q$140,Q33),1),"N/A")</f>
        <v>N/A</v>
      </c>
      <c r="S33" s="6"/>
      <c r="T33" s="6" t="n">
        <v>2000</v>
      </c>
      <c r="U33" s="6"/>
      <c r="V33" s="6" t="s">
        <v>70</v>
      </c>
      <c r="W33" s="6" t="n">
        <v>100</v>
      </c>
      <c r="X33" s="6" t="n">
        <v>450</v>
      </c>
      <c r="Y33" s="6" t="n">
        <v>575</v>
      </c>
      <c r="Z33" s="6" t="n">
        <v>0</v>
      </c>
      <c r="AA33" s="6" t="n">
        <v>1</v>
      </c>
      <c r="AB33" s="6"/>
      <c r="AC33" s="6"/>
      <c r="AD33" s="6"/>
      <c r="AE33" s="6" t="n">
        <v>6E-005</v>
      </c>
      <c r="AF33" s="7" t="n">
        <f aca="false">IF(AND(ISNUMBER(G33),ISNUMBER(AE33)),IF(AE33&gt;0,G33/AE33,"N/A"),"N/A")</f>
        <v>1666.66666666667</v>
      </c>
      <c r="AG33" s="6" t="s">
        <v>131</v>
      </c>
      <c r="AH33" s="6" t="s">
        <v>63</v>
      </c>
      <c r="AI33" s="3" t="s">
        <v>151</v>
      </c>
      <c r="AJ33" s="6"/>
    </row>
    <row r="34" customFormat="false" ht="63.75" hidden="true" customHeight="true" outlineLevel="0" collapsed="false">
      <c r="A34" s="6" t="s">
        <v>56</v>
      </c>
      <c r="B34" s="3" t="s">
        <v>152</v>
      </c>
      <c r="C34" s="3" t="s">
        <v>125</v>
      </c>
      <c r="D34" s="6"/>
      <c r="E34" s="6"/>
      <c r="F34" s="6"/>
      <c r="G34" s="6" t="n">
        <v>0.03</v>
      </c>
      <c r="H34" s="6" t="n">
        <v>650</v>
      </c>
      <c r="I34" s="6" t="n">
        <v>5</v>
      </c>
      <c r="J34" s="6" t="n">
        <v>0.85</v>
      </c>
      <c r="K34" s="6"/>
      <c r="L34" s="6" t="n">
        <v>1100</v>
      </c>
      <c r="M34" s="6"/>
      <c r="N34" s="6"/>
      <c r="O34" s="6"/>
      <c r="P34" s="6"/>
      <c r="Q34" s="7" t="str">
        <f aca="false">IF(AND(ISNUMBER(N34),ISNUMBER(J34),ISNUMBER(O34)),IF(AND(N34&gt;0,J34&gt;0,O34&gt;0),N34/J34*O34,"N/A"),"N/A")</f>
        <v>N/A</v>
      </c>
      <c r="R34" s="8" t="str">
        <f aca="false">IF(ISNUMBER(Q34),ROUND(1+9*PERCENTRANK($Q$2:$Q$140,Q34),1),"N/A")</f>
        <v>N/A</v>
      </c>
      <c r="S34" s="6"/>
      <c r="T34" s="6" t="n">
        <v>3000</v>
      </c>
      <c r="U34" s="6"/>
      <c r="V34" s="6" t="s">
        <v>70</v>
      </c>
      <c r="W34" s="6" t="s">
        <v>70</v>
      </c>
      <c r="X34" s="6" t="n">
        <v>3000</v>
      </c>
      <c r="Y34" s="6" t="n">
        <v>1200</v>
      </c>
      <c r="Z34" s="6" t="n">
        <v>0</v>
      </c>
      <c r="AA34" s="6" t="n">
        <v>7.5</v>
      </c>
      <c r="AB34" s="6"/>
      <c r="AC34" s="6"/>
      <c r="AD34" s="6"/>
      <c r="AE34" s="6" t="n">
        <v>6E-005</v>
      </c>
      <c r="AF34" s="7" t="n">
        <f aca="false">IF(AND(ISNUMBER(G34),ISNUMBER(AE34)),IF(AE34&gt;0,G34/AE34,"N/A"),"N/A")</f>
        <v>500</v>
      </c>
      <c r="AG34" s="6" t="s">
        <v>126</v>
      </c>
      <c r="AH34" s="6" t="s">
        <v>63</v>
      </c>
      <c r="AI34" s="3" t="s">
        <v>153</v>
      </c>
      <c r="AJ34" s="6"/>
    </row>
    <row r="35" customFormat="false" ht="25.5" hidden="true" customHeight="true" outlineLevel="0" collapsed="false">
      <c r="A35" s="6" t="s">
        <v>56</v>
      </c>
      <c r="B35" s="3" t="s">
        <v>154</v>
      </c>
      <c r="C35" s="3" t="s">
        <v>125</v>
      </c>
      <c r="D35" s="6"/>
      <c r="E35" s="6"/>
      <c r="F35" s="6"/>
      <c r="G35" s="6" t="n">
        <v>0.1</v>
      </c>
      <c r="H35" s="6" t="n">
        <v>500</v>
      </c>
      <c r="I35" s="6" t="n">
        <v>4</v>
      </c>
      <c r="J35" s="6" t="n">
        <v>0.5</v>
      </c>
      <c r="K35" s="6"/>
      <c r="L35" s="6" t="n">
        <v>825</v>
      </c>
      <c r="M35" s="6" t="n">
        <v>825</v>
      </c>
      <c r="N35" s="6"/>
      <c r="O35" s="6"/>
      <c r="P35" s="6"/>
      <c r="Q35" s="7" t="str">
        <f aca="false">IF(AND(ISNUMBER(N35),ISNUMBER(J35),ISNUMBER(O35)),IF(AND(N35&gt;0,J35&gt;0,O35&gt;0),N35/J35*O35,"N/A"),"N/A")</f>
        <v>N/A</v>
      </c>
      <c r="R35" s="8" t="str">
        <f aca="false">IF(ISNUMBER(Q35),ROUND(1+9*PERCENTRANK($Q$2:$Q$140,Q35),1),"N/A")</f>
        <v>N/A</v>
      </c>
      <c r="S35" s="6"/>
      <c r="T35" s="6" t="n">
        <v>2000</v>
      </c>
      <c r="U35" s="6"/>
      <c r="V35" s="6" t="s">
        <v>70</v>
      </c>
      <c r="W35" s="6" t="n">
        <v>200</v>
      </c>
      <c r="X35" s="6" t="n">
        <v>750</v>
      </c>
      <c r="Y35" s="6" t="n">
        <v>750</v>
      </c>
      <c r="Z35" s="6" t="n">
        <v>0</v>
      </c>
      <c r="AA35" s="6" t="n">
        <v>2.5</v>
      </c>
      <c r="AB35" s="6"/>
      <c r="AC35" s="6"/>
      <c r="AD35" s="6"/>
      <c r="AE35" s="6" t="n">
        <v>6E-005</v>
      </c>
      <c r="AF35" s="7" t="n">
        <f aca="false">IF(AND(ISNUMBER(G35),ISNUMBER(AE35)),IF(AE35&gt;0,G35/AE35,"N/A"),"N/A")</f>
        <v>1666.66666666667</v>
      </c>
      <c r="AG35" s="6" t="s">
        <v>131</v>
      </c>
      <c r="AH35" s="6" t="s">
        <v>63</v>
      </c>
      <c r="AI35" s="3" t="s">
        <v>155</v>
      </c>
      <c r="AJ35" s="6"/>
    </row>
    <row r="36" customFormat="false" ht="38.25" hidden="true" customHeight="true" outlineLevel="0" collapsed="false">
      <c r="A36" s="6" t="s">
        <v>56</v>
      </c>
      <c r="B36" s="6" t="s">
        <v>156</v>
      </c>
      <c r="C36" s="3" t="s">
        <v>125</v>
      </c>
      <c r="D36" s="6"/>
      <c r="E36" s="6"/>
      <c r="F36" s="6"/>
      <c r="G36" s="6" t="n">
        <v>0.15</v>
      </c>
      <c r="H36" s="6" t="n">
        <v>800</v>
      </c>
      <c r="I36" s="6" t="n">
        <v>5</v>
      </c>
      <c r="J36" s="6" t="n">
        <v>1.4</v>
      </c>
      <c r="K36" s="6"/>
      <c r="L36" s="6" t="n">
        <v>1175</v>
      </c>
      <c r="M36" s="6"/>
      <c r="N36" s="6"/>
      <c r="O36" s="6"/>
      <c r="P36" s="6"/>
      <c r="Q36" s="7" t="str">
        <f aca="false">IF(AND(ISNUMBER(N36),ISNUMBER(J36),ISNUMBER(O36)),IF(AND(N36&gt;0,J36&gt;0,O36&gt;0),N36/J36*O36,"N/A"),"N/A")</f>
        <v>N/A</v>
      </c>
      <c r="R36" s="8" t="str">
        <f aca="false">IF(ISNUMBER(Q36),ROUND(1+9*PERCENTRANK($Q$2:$Q$140,Q36),1),"N/A")</f>
        <v>N/A</v>
      </c>
      <c r="S36" s="6"/>
      <c r="T36" s="6" t="n">
        <v>3000</v>
      </c>
      <c r="U36" s="6"/>
      <c r="V36" s="6" t="s">
        <v>70</v>
      </c>
      <c r="W36" s="6" t="s">
        <v>70</v>
      </c>
      <c r="X36" s="6" t="n">
        <v>1000</v>
      </c>
      <c r="Y36" s="6" t="n">
        <v>360</v>
      </c>
      <c r="Z36" s="6" t="n">
        <v>0</v>
      </c>
      <c r="AA36" s="6" t="n">
        <v>2.5</v>
      </c>
      <c r="AB36" s="6"/>
      <c r="AC36" s="6"/>
      <c r="AD36" s="6"/>
      <c r="AE36" s="6" t="n">
        <v>0.00012</v>
      </c>
      <c r="AF36" s="7" t="n">
        <f aca="false">IF(AND(ISNUMBER(G36),ISNUMBER(AE36)),IF(AE36&gt;0,G36/AE36,"N/A"),"N/A")</f>
        <v>1250</v>
      </c>
      <c r="AG36" s="6" t="s">
        <v>126</v>
      </c>
      <c r="AH36" s="6" t="s">
        <v>63</v>
      </c>
      <c r="AI36" s="3" t="s">
        <v>157</v>
      </c>
      <c r="AJ36" s="6"/>
    </row>
    <row r="37" customFormat="false" ht="25.5" hidden="true" customHeight="true" outlineLevel="0" collapsed="false">
      <c r="A37" s="6" t="s">
        <v>56</v>
      </c>
      <c r="B37" s="6" t="s">
        <v>158</v>
      </c>
      <c r="C37" s="3" t="s">
        <v>125</v>
      </c>
      <c r="D37" s="6"/>
      <c r="E37" s="6"/>
      <c r="F37" s="6"/>
      <c r="G37" s="6" t="n">
        <v>0.2</v>
      </c>
      <c r="H37" s="6" t="n">
        <v>550</v>
      </c>
      <c r="I37" s="6" t="n">
        <v>5</v>
      </c>
      <c r="J37" s="6" t="n">
        <v>0.9</v>
      </c>
      <c r="K37" s="6"/>
      <c r="L37" s="6" t="n">
        <v>1100</v>
      </c>
      <c r="M37" s="6"/>
      <c r="N37" s="6"/>
      <c r="O37" s="6"/>
      <c r="P37" s="6"/>
      <c r="Q37" s="7" t="str">
        <f aca="false">IF(AND(ISNUMBER(N37),ISNUMBER(J37),ISNUMBER(O37)),IF(AND(N37&gt;0,J37&gt;0,O37&gt;0),N37/J37*O37,"N/A"),"N/A")</f>
        <v>N/A</v>
      </c>
      <c r="R37" s="8" t="str">
        <f aca="false">IF(ISNUMBER(Q37),ROUND(1+9*PERCENTRANK($Q$2:$Q$140,Q37),1),"N/A")</f>
        <v>N/A</v>
      </c>
      <c r="S37" s="6"/>
      <c r="T37" s="6" t="n">
        <v>7500</v>
      </c>
      <c r="U37" s="6"/>
      <c r="V37" s="6" t="s">
        <v>70</v>
      </c>
      <c r="W37" s="6" t="s">
        <v>70</v>
      </c>
      <c r="X37" s="6" t="n">
        <v>450</v>
      </c>
      <c r="Y37" s="6" t="n">
        <v>750</v>
      </c>
      <c r="Z37" s="6" t="n">
        <v>4</v>
      </c>
      <c r="AA37" s="6" t="n">
        <v>1</v>
      </c>
      <c r="AB37" s="6"/>
      <c r="AC37" s="6"/>
      <c r="AD37" s="6"/>
      <c r="AE37" s="6" t="n">
        <v>0.0009</v>
      </c>
      <c r="AF37" s="7" t="n">
        <f aca="false">IF(AND(ISNUMBER(G37),ISNUMBER(AE37)),IF(AE37&gt;0,G37/AE37,"N/A"),"N/A")</f>
        <v>222.222222222222</v>
      </c>
      <c r="AG37" s="6" t="s">
        <v>131</v>
      </c>
      <c r="AH37" s="3" t="s">
        <v>129</v>
      </c>
      <c r="AI37" s="6"/>
      <c r="AJ37" s="6"/>
    </row>
    <row r="38" customFormat="false" ht="38.25" hidden="true" customHeight="true" outlineLevel="0" collapsed="false">
      <c r="A38" s="6" t="s">
        <v>56</v>
      </c>
      <c r="B38" s="6" t="s">
        <v>159</v>
      </c>
      <c r="C38" s="3" t="s">
        <v>125</v>
      </c>
      <c r="D38" s="6"/>
      <c r="E38" s="6"/>
      <c r="F38" s="6"/>
      <c r="G38" s="6" t="n">
        <v>0.3</v>
      </c>
      <c r="H38" s="6" t="n">
        <v>650</v>
      </c>
      <c r="I38" s="6" t="n">
        <v>5</v>
      </c>
      <c r="J38" s="6" t="n">
        <v>0.4</v>
      </c>
      <c r="K38" s="6"/>
      <c r="L38" s="6" t="n">
        <v>240</v>
      </c>
      <c r="M38" s="6"/>
      <c r="N38" s="6"/>
      <c r="O38" s="6"/>
      <c r="P38" s="6"/>
      <c r="Q38" s="7" t="str">
        <f aca="false">IF(AND(ISNUMBER(N38),ISNUMBER(J38),ISNUMBER(O38)),IF(AND(N38&gt;0,J38&gt;0,O38&gt;0),N38/J38*O38,"N/A"),"N/A")</f>
        <v>N/A</v>
      </c>
      <c r="R38" s="8" t="str">
        <f aca="false">IF(ISNUMBER(Q38),ROUND(1+9*PERCENTRANK($Q$2:$Q$140,Q38),1),"N/A")</f>
        <v>N/A</v>
      </c>
      <c r="S38" s="6" t="n">
        <v>30</v>
      </c>
      <c r="T38" s="6" t="n">
        <v>2200</v>
      </c>
      <c r="U38" s="6"/>
      <c r="V38" s="6" t="n">
        <v>100</v>
      </c>
      <c r="W38" s="6" t="n">
        <v>40</v>
      </c>
      <c r="X38" s="6" t="n">
        <v>340</v>
      </c>
      <c r="Y38" s="6" t="n">
        <v>32</v>
      </c>
      <c r="Z38" s="6" t="n">
        <v>5</v>
      </c>
      <c r="AA38" s="6" t="n">
        <v>1</v>
      </c>
      <c r="AB38" s="6"/>
      <c r="AC38" s="6"/>
      <c r="AD38" s="6"/>
      <c r="AE38" s="6" t="n">
        <v>0.00012</v>
      </c>
      <c r="AF38" s="7" t="n">
        <f aca="false">IF(AND(ISNUMBER(G38),ISNUMBER(AE38)),IF(AE38&gt;0,G38/AE38,"N/A"),"N/A")</f>
        <v>2500</v>
      </c>
      <c r="AG38" s="6" t="s">
        <v>131</v>
      </c>
      <c r="AH38" s="6" t="s">
        <v>63</v>
      </c>
      <c r="AI38" s="3" t="s">
        <v>160</v>
      </c>
      <c r="AJ38" s="6"/>
    </row>
    <row r="39" customFormat="false" ht="25.5" hidden="true" customHeight="true" outlineLevel="0" collapsed="false">
      <c r="A39" s="6" t="s">
        <v>56</v>
      </c>
      <c r="B39" s="6" t="s">
        <v>161</v>
      </c>
      <c r="C39" s="3" t="s">
        <v>125</v>
      </c>
      <c r="D39" s="6"/>
      <c r="E39" s="6"/>
      <c r="F39" s="6"/>
      <c r="G39" s="6" t="n">
        <v>0.3</v>
      </c>
      <c r="H39" s="6" t="n">
        <v>650</v>
      </c>
      <c r="I39" s="6" t="n">
        <v>6</v>
      </c>
      <c r="J39" s="6" t="n">
        <v>0.4</v>
      </c>
      <c r="K39" s="6"/>
      <c r="L39" s="6" t="n">
        <v>110</v>
      </c>
      <c r="M39" s="6" t="n">
        <v>110</v>
      </c>
      <c r="N39" s="6"/>
      <c r="O39" s="6"/>
      <c r="P39" s="6"/>
      <c r="Q39" s="7" t="str">
        <f aca="false">IF(AND(ISNUMBER(N39),ISNUMBER(J39),ISNUMBER(O39)),IF(AND(N39&gt;0,J39&gt;0,O39&gt;0),N39/J39*O39,"N/A"),"N/A")</f>
        <v>N/A</v>
      </c>
      <c r="R39" s="8" t="str">
        <f aca="false">IF(ISNUMBER(Q39),ROUND(1+9*PERCENTRANK($Q$2:$Q$140,Q39),1),"N/A")</f>
        <v>N/A</v>
      </c>
      <c r="S39" s="6" t="n">
        <v>30</v>
      </c>
      <c r="T39" s="6" t="n">
        <v>400</v>
      </c>
      <c r="U39" s="6"/>
      <c r="V39" s="6" t="n">
        <v>100</v>
      </c>
      <c r="W39" s="6" t="n">
        <v>40</v>
      </c>
      <c r="X39" s="6" t="n">
        <v>100</v>
      </c>
      <c r="Y39" s="6" t="n">
        <v>1</v>
      </c>
      <c r="Z39" s="6" t="n">
        <v>31</v>
      </c>
      <c r="AA39" s="6" t="n">
        <v>1</v>
      </c>
      <c r="AB39" s="6"/>
      <c r="AC39" s="6"/>
      <c r="AD39" s="6"/>
      <c r="AE39" s="6" t="n">
        <v>0.00012</v>
      </c>
      <c r="AF39" s="7" t="n">
        <f aca="false">IF(AND(ISNUMBER(G39),ISNUMBER(AE39)),IF(AE39&gt;0,G39/AE39,"N/A"),"N/A")</f>
        <v>2500</v>
      </c>
      <c r="AG39" s="6" t="s">
        <v>131</v>
      </c>
      <c r="AH39" s="6" t="s">
        <v>63</v>
      </c>
      <c r="AI39" s="3" t="s">
        <v>162</v>
      </c>
      <c r="AJ39" s="6"/>
    </row>
    <row r="40" customFormat="false" ht="38.25" hidden="true" customHeight="true" outlineLevel="0" collapsed="false">
      <c r="A40" s="6" t="s">
        <v>56</v>
      </c>
      <c r="B40" s="6" t="s">
        <v>163</v>
      </c>
      <c r="C40" s="3" t="s">
        <v>125</v>
      </c>
      <c r="D40" s="6"/>
      <c r="E40" s="6"/>
      <c r="F40" s="6"/>
      <c r="G40" s="6" t="n">
        <v>0.5</v>
      </c>
      <c r="H40" s="6" t="n">
        <v>600</v>
      </c>
      <c r="I40" s="6" t="n">
        <v>6</v>
      </c>
      <c r="J40" s="6" t="n">
        <v>6</v>
      </c>
      <c r="K40" s="6"/>
      <c r="L40" s="6" t="n">
        <v>1000</v>
      </c>
      <c r="M40" s="6"/>
      <c r="N40" s="6"/>
      <c r="O40" s="6"/>
      <c r="P40" s="6"/>
      <c r="Q40" s="7" t="str">
        <f aca="false">IF(AND(ISNUMBER(N40),ISNUMBER(J40),ISNUMBER(O40)),IF(AND(N40&gt;0,J40&gt;0,O40&gt;0),N40/J40*O40,"N/A"),"N/A")</f>
        <v>N/A</v>
      </c>
      <c r="R40" s="8" t="str">
        <f aca="false">IF(ISNUMBER(Q40),ROUND(1+9*PERCENTRANK($Q$2:$Q$140,Q40),1),"N/A")</f>
        <v>N/A</v>
      </c>
      <c r="S40" s="6"/>
      <c r="T40" s="6" t="n">
        <v>9000</v>
      </c>
      <c r="U40" s="6"/>
      <c r="V40" s="6" t="s">
        <v>70</v>
      </c>
      <c r="W40" s="6" t="s">
        <v>70</v>
      </c>
      <c r="X40" s="6" t="n">
        <v>180</v>
      </c>
      <c r="Y40" s="6" t="n">
        <v>10</v>
      </c>
      <c r="Z40" s="6" t="n">
        <v>71</v>
      </c>
      <c r="AA40" s="6" t="n">
        <v>0.5</v>
      </c>
      <c r="AB40" s="6"/>
      <c r="AC40" s="6"/>
      <c r="AD40" s="6"/>
      <c r="AE40" s="6" t="n">
        <v>0.001</v>
      </c>
      <c r="AF40" s="7" t="n">
        <f aca="false">IF(AND(ISNUMBER(G40),ISNUMBER(AE40)),IF(AE40&gt;0,G40/AE40,"N/A"),"N/A")</f>
        <v>500</v>
      </c>
      <c r="AG40" s="6" t="s">
        <v>131</v>
      </c>
      <c r="AH40" s="3" t="s">
        <v>129</v>
      </c>
      <c r="AI40" s="3" t="s">
        <v>164</v>
      </c>
      <c r="AJ40" s="6"/>
    </row>
    <row r="41" customFormat="false" ht="25.5" hidden="true" customHeight="true" outlineLevel="0" collapsed="false">
      <c r="A41" s="6" t="s">
        <v>56</v>
      </c>
      <c r="B41" s="6" t="s">
        <v>165</v>
      </c>
      <c r="C41" s="3" t="s">
        <v>125</v>
      </c>
      <c r="D41" s="6"/>
      <c r="E41" s="6"/>
      <c r="F41" s="6"/>
      <c r="G41" s="6" t="n">
        <v>0.5</v>
      </c>
      <c r="H41" s="6" t="n">
        <v>650</v>
      </c>
      <c r="I41" s="6" t="n">
        <v>6</v>
      </c>
      <c r="J41" s="6" t="n">
        <v>6</v>
      </c>
      <c r="K41" s="6"/>
      <c r="L41" s="6" t="n">
        <v>1100</v>
      </c>
      <c r="M41" s="6" t="n">
        <v>1100</v>
      </c>
      <c r="N41" s="6"/>
      <c r="O41" s="6"/>
      <c r="P41" s="6"/>
      <c r="Q41" s="7" t="str">
        <f aca="false">IF(AND(ISNUMBER(N41),ISNUMBER(J41),ISNUMBER(O41)),IF(AND(N41&gt;0,J41&gt;0,O41&gt;0),N41/J41*O41,"N/A"),"N/A")</f>
        <v>N/A</v>
      </c>
      <c r="R41" s="8" t="str">
        <f aca="false">IF(ISNUMBER(Q41),ROUND(1+9*PERCENTRANK($Q$2:$Q$140,Q41),1),"N/A")</f>
        <v>N/A</v>
      </c>
      <c r="S41" s="6"/>
      <c r="T41" s="6" t="n">
        <v>9000</v>
      </c>
      <c r="U41" s="6"/>
      <c r="V41" s="6" t="s">
        <v>70</v>
      </c>
      <c r="W41" s="6" t="s">
        <v>70</v>
      </c>
      <c r="X41" s="6" t="n">
        <v>250</v>
      </c>
      <c r="Y41" s="6" t="n">
        <v>6</v>
      </c>
      <c r="Z41" s="6" t="n">
        <v>200</v>
      </c>
      <c r="AA41" s="6" t="n">
        <v>0.5</v>
      </c>
      <c r="AB41" s="6"/>
      <c r="AC41" s="6"/>
      <c r="AD41" s="6"/>
      <c r="AE41" s="6" t="n">
        <v>0.0012</v>
      </c>
      <c r="AF41" s="7" t="n">
        <f aca="false">IF(AND(ISNUMBER(G41),ISNUMBER(AE41)),IF(AE41&gt;0,G41/AE41,"N/A"),"N/A")</f>
        <v>416.666666666667</v>
      </c>
      <c r="AG41" s="6" t="s">
        <v>131</v>
      </c>
      <c r="AH41" s="3" t="s">
        <v>129</v>
      </c>
      <c r="AI41" s="6"/>
      <c r="AJ41" s="6"/>
    </row>
    <row r="42" customFormat="false" ht="38.25" hidden="true" customHeight="true" outlineLevel="0" collapsed="false">
      <c r="A42" s="6" t="s">
        <v>56</v>
      </c>
      <c r="B42" s="6" t="s">
        <v>166</v>
      </c>
      <c r="C42" s="3" t="s">
        <v>125</v>
      </c>
      <c r="D42" s="6"/>
      <c r="E42" s="6"/>
      <c r="F42" s="6"/>
      <c r="G42" s="6" t="n">
        <v>0.5</v>
      </c>
      <c r="H42" s="6" t="n">
        <v>750</v>
      </c>
      <c r="I42" s="6" t="n">
        <v>6</v>
      </c>
      <c r="J42" s="6" t="n">
        <v>6</v>
      </c>
      <c r="K42" s="6"/>
      <c r="L42" s="6" t="n">
        <v>1100</v>
      </c>
      <c r="M42" s="6"/>
      <c r="N42" s="6"/>
      <c r="O42" s="6"/>
      <c r="P42" s="6"/>
      <c r="Q42" s="7" t="str">
        <f aca="false">IF(AND(ISNUMBER(N42),ISNUMBER(J42),ISNUMBER(O42)),IF(AND(N42&gt;0,J42&gt;0,O42&gt;0),N42/J42*O42,"N/A"),"N/A")</f>
        <v>N/A</v>
      </c>
      <c r="R42" s="8" t="str">
        <f aca="false">IF(ISNUMBER(Q42),ROUND(1+9*PERCENTRANK($Q$2:$Q$140,Q42),1),"N/A")</f>
        <v>N/A</v>
      </c>
      <c r="S42" s="6"/>
      <c r="T42" s="6" t="n">
        <v>6000</v>
      </c>
      <c r="U42" s="6"/>
      <c r="V42" s="6" t="s">
        <v>70</v>
      </c>
      <c r="W42" s="6" t="s">
        <v>70</v>
      </c>
      <c r="X42" s="6" t="n">
        <v>250</v>
      </c>
      <c r="Y42" s="6" t="n">
        <v>150</v>
      </c>
      <c r="Z42" s="6" t="n">
        <v>0</v>
      </c>
      <c r="AA42" s="6" t="n">
        <v>1.5</v>
      </c>
      <c r="AB42" s="6"/>
      <c r="AC42" s="6"/>
      <c r="AD42" s="6"/>
      <c r="AE42" s="6" t="n">
        <v>0.0012</v>
      </c>
      <c r="AF42" s="7" t="n">
        <f aca="false">IF(AND(ISNUMBER(G42),ISNUMBER(AE42)),IF(AE42&gt;0,G42/AE42,"N/A"),"N/A")</f>
        <v>416.666666666667</v>
      </c>
      <c r="AG42" s="6" t="s">
        <v>126</v>
      </c>
      <c r="AH42" s="3" t="s">
        <v>129</v>
      </c>
      <c r="AI42" s="3" t="s">
        <v>167</v>
      </c>
      <c r="AJ42" s="6"/>
    </row>
    <row r="43" customFormat="false" ht="25.5" hidden="true" customHeight="true" outlineLevel="0" collapsed="false">
      <c r="A43" s="6" t="s">
        <v>56</v>
      </c>
      <c r="B43" s="6" t="s">
        <v>168</v>
      </c>
      <c r="C43" s="3" t="s">
        <v>125</v>
      </c>
      <c r="D43" s="6"/>
      <c r="E43" s="6"/>
      <c r="F43" s="6"/>
      <c r="G43" s="6" t="n">
        <v>0.5</v>
      </c>
      <c r="H43" s="6" t="n">
        <v>650</v>
      </c>
      <c r="I43" s="6" t="n">
        <v>6</v>
      </c>
      <c r="J43" s="6" t="n">
        <v>6</v>
      </c>
      <c r="K43" s="6"/>
      <c r="L43" s="6" t="n">
        <v>1100</v>
      </c>
      <c r="M43" s="6"/>
      <c r="N43" s="6"/>
      <c r="O43" s="6"/>
      <c r="P43" s="6"/>
      <c r="Q43" s="7" t="str">
        <f aca="false">IF(AND(ISNUMBER(N43),ISNUMBER(J43),ISNUMBER(O43)),IF(AND(N43&gt;0,J43&gt;0,O43&gt;0),N43/J43*O43,"N/A"),"N/A")</f>
        <v>N/A</v>
      </c>
      <c r="R43" s="8" t="str">
        <f aca="false">IF(ISNUMBER(Q43),ROUND(1+9*PERCENTRANK($Q$2:$Q$140,Q43),1),"N/A")</f>
        <v>N/A</v>
      </c>
      <c r="S43" s="6"/>
      <c r="T43" s="6" t="n">
        <v>5500</v>
      </c>
      <c r="U43" s="6"/>
      <c r="V43" s="6" t="s">
        <v>70</v>
      </c>
      <c r="W43" s="6" t="s">
        <v>70</v>
      </c>
      <c r="X43" s="6" t="n">
        <v>120</v>
      </c>
      <c r="Y43" s="6" t="n">
        <v>250</v>
      </c>
      <c r="Z43" s="6" t="n">
        <v>0</v>
      </c>
      <c r="AA43" s="6" t="n">
        <v>1.5</v>
      </c>
      <c r="AB43" s="6"/>
      <c r="AC43" s="6"/>
      <c r="AD43" s="6"/>
      <c r="AE43" s="6" t="n">
        <v>0.0012</v>
      </c>
      <c r="AF43" s="7" t="n">
        <f aca="false">IF(AND(ISNUMBER(G43),ISNUMBER(AE43)),IF(AE43&gt;0,G43/AE43,"N/A"),"N/A")</f>
        <v>416.666666666667</v>
      </c>
      <c r="AG43" s="6" t="s">
        <v>131</v>
      </c>
      <c r="AH43" s="3" t="s">
        <v>129</v>
      </c>
      <c r="AI43" s="6"/>
      <c r="AJ43" s="6"/>
    </row>
    <row r="44" customFormat="false" ht="25.5" hidden="true" customHeight="true" outlineLevel="0" collapsed="false">
      <c r="A44" s="6" t="s">
        <v>56</v>
      </c>
      <c r="B44" s="6" t="s">
        <v>169</v>
      </c>
      <c r="C44" s="3" t="s">
        <v>125</v>
      </c>
      <c r="D44" s="6"/>
      <c r="E44" s="6"/>
      <c r="F44" s="6"/>
      <c r="G44" s="6" t="n">
        <v>2.5</v>
      </c>
      <c r="H44" s="6" t="n">
        <v>800</v>
      </c>
      <c r="I44" s="6" t="n">
        <v>7</v>
      </c>
      <c r="J44" s="6" t="n">
        <v>1.3</v>
      </c>
      <c r="K44" s="6"/>
      <c r="L44" s="6" t="n">
        <v>280</v>
      </c>
      <c r="M44" s="6" t="n">
        <v>280</v>
      </c>
      <c r="N44" s="6"/>
      <c r="O44" s="6"/>
      <c r="P44" s="6"/>
      <c r="Q44" s="7" t="str">
        <f aca="false">IF(AND(ISNUMBER(N44),ISNUMBER(J44),ISNUMBER(O44)),IF(AND(N44&gt;0,J44&gt;0,O44&gt;0),N44/J44*O44,"N/A"),"N/A")</f>
        <v>N/A</v>
      </c>
      <c r="R44" s="8" t="str">
        <f aca="false">IF(ISNUMBER(Q44),ROUND(1+9*PERCENTRANK($Q$2:$Q$140,Q44),1),"N/A")</f>
        <v>N/A</v>
      </c>
      <c r="S44" s="6" t="n">
        <v>10</v>
      </c>
      <c r="T44" s="6" t="n">
        <v>1000</v>
      </c>
      <c r="U44" s="6"/>
      <c r="V44" s="6" t="n">
        <v>100</v>
      </c>
      <c r="W44" s="6" t="n">
        <v>40</v>
      </c>
      <c r="X44" s="6" t="n">
        <v>60</v>
      </c>
      <c r="Y44" s="6" t="n">
        <v>1</v>
      </c>
      <c r="Z44" s="6" t="n">
        <v>2</v>
      </c>
      <c r="AA44" s="6"/>
      <c r="AB44" s="6"/>
      <c r="AC44" s="6"/>
      <c r="AD44" s="6"/>
      <c r="AE44" s="6" t="n">
        <v>0.0009</v>
      </c>
      <c r="AF44" s="7" t="n">
        <f aca="false">IF(AND(ISNUMBER(G44),ISNUMBER(AE44)),IF(AE44&gt;0,G44/AE44,"N/A"),"N/A")</f>
        <v>2777.77777777778</v>
      </c>
      <c r="AG44" s="6" t="s">
        <v>131</v>
      </c>
      <c r="AH44" s="6" t="s">
        <v>63</v>
      </c>
      <c r="AI44" s="3" t="s">
        <v>170</v>
      </c>
      <c r="AJ44" s="6"/>
    </row>
    <row r="45" customFormat="false" ht="51" hidden="true" customHeight="true" outlineLevel="0" collapsed="false">
      <c r="A45" s="6" t="s">
        <v>56</v>
      </c>
      <c r="B45" s="6" t="s">
        <v>171</v>
      </c>
      <c r="C45" s="3" t="s">
        <v>125</v>
      </c>
      <c r="D45" s="6"/>
      <c r="E45" s="6"/>
      <c r="F45" s="6"/>
      <c r="G45" s="6" t="n">
        <v>0.7</v>
      </c>
      <c r="H45" s="6" t="n">
        <v>700</v>
      </c>
      <c r="I45" s="6" t="n">
        <v>7</v>
      </c>
      <c r="J45" s="6" t="n">
        <v>6.3</v>
      </c>
      <c r="K45" s="6"/>
      <c r="L45" s="6" t="n">
        <v>760</v>
      </c>
      <c r="M45" s="6"/>
      <c r="N45" s="6"/>
      <c r="O45" s="6"/>
      <c r="P45" s="6"/>
      <c r="Q45" s="7" t="str">
        <f aca="false">IF(AND(ISNUMBER(N45),ISNUMBER(J45),ISNUMBER(O45)),IF(AND(N45&gt;0,J45&gt;0,O45&gt;0),N45/J45*O45,"N/A"),"N/A")</f>
        <v>N/A</v>
      </c>
      <c r="R45" s="8" t="str">
        <f aca="false">IF(ISNUMBER(Q45),ROUND(1+9*PERCENTRANK($Q$2:$Q$140,Q45),1),"N/A")</f>
        <v>N/A</v>
      </c>
      <c r="S45" s="6"/>
      <c r="T45" s="6" t="n">
        <v>25000</v>
      </c>
      <c r="U45" s="6"/>
      <c r="V45" s="6" t="s">
        <v>70</v>
      </c>
      <c r="W45" s="6" t="n">
        <v>50</v>
      </c>
      <c r="X45" s="6" t="n">
        <v>60</v>
      </c>
      <c r="Y45" s="6" t="n">
        <v>500</v>
      </c>
      <c r="Z45" s="6" t="n">
        <v>0</v>
      </c>
      <c r="AA45" s="6" t="n">
        <v>0.1</v>
      </c>
      <c r="AB45" s="6"/>
      <c r="AC45" s="6"/>
      <c r="AD45" s="6"/>
      <c r="AE45" s="6" t="n">
        <v>0.015</v>
      </c>
      <c r="AF45" s="7" t="n">
        <f aca="false">IF(AND(ISNUMBER(G45),ISNUMBER(AE45)),IF(AE45&gt;0,G45/AE45,"N/A"),"N/A")</f>
        <v>46.6666666666667</v>
      </c>
      <c r="AG45" s="6" t="s">
        <v>131</v>
      </c>
      <c r="AH45" s="6" t="s">
        <v>63</v>
      </c>
      <c r="AI45" s="3" t="s">
        <v>172</v>
      </c>
      <c r="AJ45" s="6"/>
    </row>
    <row r="46" customFormat="false" ht="25.5" hidden="true" customHeight="true" outlineLevel="0" collapsed="false">
      <c r="A46" s="6" t="s">
        <v>56</v>
      </c>
      <c r="B46" s="6" t="s">
        <v>173</v>
      </c>
      <c r="C46" s="3" t="s">
        <v>125</v>
      </c>
      <c r="D46" s="6"/>
      <c r="E46" s="6"/>
      <c r="F46" s="6"/>
      <c r="G46" s="6" t="n">
        <v>0.7</v>
      </c>
      <c r="H46" s="6" t="n">
        <v>700</v>
      </c>
      <c r="I46" s="6" t="n">
        <v>7</v>
      </c>
      <c r="J46" s="6" t="n">
        <v>6.3</v>
      </c>
      <c r="K46" s="6"/>
      <c r="L46" s="6" t="n">
        <v>950</v>
      </c>
      <c r="M46" s="6"/>
      <c r="N46" s="6"/>
      <c r="O46" s="6"/>
      <c r="P46" s="6"/>
      <c r="Q46" s="7" t="str">
        <f aca="false">IF(AND(ISNUMBER(N46),ISNUMBER(J46),ISNUMBER(O46)),IF(AND(N46&gt;0,J46&gt;0,O46&gt;0),N46/J46*O46,"N/A"),"N/A")</f>
        <v>N/A</v>
      </c>
      <c r="R46" s="8" t="str">
        <f aca="false">IF(ISNUMBER(Q46),ROUND(1+9*PERCENTRANK($Q$2:$Q$140,Q46),1),"N/A")</f>
        <v>N/A</v>
      </c>
      <c r="S46" s="6"/>
      <c r="T46" s="6" t="n">
        <v>25000</v>
      </c>
      <c r="U46" s="6"/>
      <c r="V46" s="6" t="s">
        <v>70</v>
      </c>
      <c r="W46" s="6" t="n">
        <v>50</v>
      </c>
      <c r="X46" s="6" t="n">
        <v>120</v>
      </c>
      <c r="Y46" s="6" t="n">
        <v>3</v>
      </c>
      <c r="Z46" s="6" t="n">
        <v>300</v>
      </c>
      <c r="AA46" s="6" t="n">
        <v>0.1</v>
      </c>
      <c r="AB46" s="6"/>
      <c r="AC46" s="6"/>
      <c r="AD46" s="6"/>
      <c r="AE46" s="6" t="n">
        <v>0.015</v>
      </c>
      <c r="AF46" s="7" t="n">
        <f aca="false">IF(AND(ISNUMBER(G46),ISNUMBER(AE46)),IF(AE46&gt;0,G46/AE46,"N/A"),"N/A")</f>
        <v>46.6666666666667</v>
      </c>
      <c r="AG46" s="6" t="s">
        <v>131</v>
      </c>
      <c r="AH46" s="6" t="s">
        <v>63</v>
      </c>
      <c r="AI46" s="6"/>
      <c r="AJ46" s="6"/>
    </row>
    <row r="47" customFormat="false" ht="25.5" hidden="true" customHeight="true" outlineLevel="0" collapsed="false">
      <c r="A47" s="6" t="s">
        <v>56</v>
      </c>
      <c r="B47" s="6" t="s">
        <v>174</v>
      </c>
      <c r="C47" s="3" t="s">
        <v>125</v>
      </c>
      <c r="D47" s="6"/>
      <c r="E47" s="6"/>
      <c r="F47" s="6"/>
      <c r="G47" s="6" t="n">
        <v>1</v>
      </c>
      <c r="H47" s="6" t="n">
        <v>700</v>
      </c>
      <c r="I47" s="6" t="n">
        <v>7</v>
      </c>
      <c r="J47" s="6" t="n">
        <v>0</v>
      </c>
      <c r="K47" s="6"/>
      <c r="L47" s="6" t="n">
        <v>400</v>
      </c>
      <c r="M47" s="6" t="n">
        <v>400</v>
      </c>
      <c r="N47" s="6"/>
      <c r="O47" s="6"/>
      <c r="P47" s="6"/>
      <c r="Q47" s="7" t="str">
        <f aca="false">IF(AND(ISNUMBER(N47),ISNUMBER(J47),ISNUMBER(O47)),IF(AND(N47&gt;0,J47&gt;0,O47&gt;0),N47/J47*O47,"N/A"),"N/A")</f>
        <v>N/A</v>
      </c>
      <c r="R47" s="8" t="str">
        <f aca="false">IF(ISNUMBER(Q47),ROUND(1+9*PERCENTRANK($Q$2:$Q$140,Q47),1),"N/A")</f>
        <v>N/A</v>
      </c>
      <c r="S47" s="6"/>
      <c r="T47" s="6" t="n">
        <v>1500</v>
      </c>
      <c r="U47" s="6"/>
      <c r="V47" s="6" t="s">
        <v>70</v>
      </c>
      <c r="W47" s="6" t="s">
        <v>70</v>
      </c>
      <c r="X47" s="6" t="n">
        <v>200</v>
      </c>
      <c r="Y47" s="6" t="n">
        <v>210</v>
      </c>
      <c r="Z47" s="6" t="n">
        <v>0</v>
      </c>
      <c r="AA47" s="6" t="n">
        <v>1</v>
      </c>
      <c r="AB47" s="6"/>
      <c r="AC47" s="6"/>
      <c r="AD47" s="6"/>
      <c r="AE47" s="6" t="n">
        <v>6E-005</v>
      </c>
      <c r="AF47" s="7" t="n">
        <f aca="false">IF(AND(ISNUMBER(G47),ISNUMBER(AE47)),IF(AE47&gt;0,G47/AE47,"N/A"),"N/A")</f>
        <v>16666.6666666667</v>
      </c>
      <c r="AG47" s="6" t="s">
        <v>126</v>
      </c>
      <c r="AH47" s="6" t="s">
        <v>63</v>
      </c>
      <c r="AI47" s="6" t="s">
        <v>64</v>
      </c>
      <c r="AJ47" s="3" t="s">
        <v>65</v>
      </c>
    </row>
    <row r="48" customFormat="false" ht="25.5" hidden="true" customHeight="true" outlineLevel="0" collapsed="false">
      <c r="A48" s="6" t="s">
        <v>56</v>
      </c>
      <c r="B48" s="6" t="s">
        <v>175</v>
      </c>
      <c r="C48" s="3" t="s">
        <v>125</v>
      </c>
      <c r="D48" s="6"/>
      <c r="E48" s="6"/>
      <c r="F48" s="6"/>
      <c r="G48" s="6" t="n">
        <v>2</v>
      </c>
      <c r="H48" s="6" t="n">
        <v>100</v>
      </c>
      <c r="I48" s="6" t="n">
        <v>7</v>
      </c>
      <c r="J48" s="6" t="n">
        <v>0</v>
      </c>
      <c r="K48" s="6"/>
      <c r="L48" s="6" t="n">
        <v>5000</v>
      </c>
      <c r="M48" s="6" t="n">
        <v>5000</v>
      </c>
      <c r="N48" s="6"/>
      <c r="O48" s="6"/>
      <c r="P48" s="6"/>
      <c r="Q48" s="7" t="str">
        <f aca="false">IF(AND(ISNUMBER(N48),ISNUMBER(J48),ISNUMBER(O48)),IF(AND(N48&gt;0,J48&gt;0,O48&gt;0),N48/J48*O48,"N/A"),"N/A")</f>
        <v>N/A</v>
      </c>
      <c r="R48" s="8" t="str">
        <f aca="false">IF(ISNUMBER(Q48),ROUND(1+9*PERCENTRANK($Q$2:$Q$140,Q48),1),"N/A")</f>
        <v>N/A</v>
      </c>
      <c r="S48" s="6"/>
      <c r="T48" s="6" t="n">
        <v>1000</v>
      </c>
      <c r="U48" s="6"/>
      <c r="V48" s="6" t="s">
        <v>70</v>
      </c>
      <c r="W48" s="6" t="s">
        <v>70</v>
      </c>
      <c r="X48" s="6" t="n">
        <v>120</v>
      </c>
      <c r="Y48" s="6" t="n">
        <v>42</v>
      </c>
      <c r="Z48" s="6" t="n">
        <v>0</v>
      </c>
      <c r="AA48" s="6"/>
      <c r="AB48" s="6"/>
      <c r="AC48" s="6"/>
      <c r="AD48" s="6"/>
      <c r="AE48" s="6" t="n">
        <v>0</v>
      </c>
      <c r="AF48" s="7" t="str">
        <f aca="false">IF(AND(ISNUMBER(G48),ISNUMBER(AE48)),IF(AE48&gt;0,G48/AE48,"N/A"),"N/A")</f>
        <v>N/A</v>
      </c>
      <c r="AG48" s="6" t="s">
        <v>131</v>
      </c>
      <c r="AH48" s="6" t="s">
        <v>176</v>
      </c>
      <c r="AI48" s="6" t="s">
        <v>64</v>
      </c>
      <c r="AJ48" s="3" t="s">
        <v>65</v>
      </c>
    </row>
    <row r="49" customFormat="false" ht="25.5" hidden="true" customHeight="true" outlineLevel="0" collapsed="false">
      <c r="A49" s="6" t="s">
        <v>56</v>
      </c>
      <c r="B49" s="6" t="s">
        <v>177</v>
      </c>
      <c r="C49" s="3" t="s">
        <v>125</v>
      </c>
      <c r="D49" s="6"/>
      <c r="E49" s="6"/>
      <c r="F49" s="6"/>
      <c r="G49" s="6" t="n">
        <v>0</v>
      </c>
      <c r="H49" s="6" t="n">
        <v>100</v>
      </c>
      <c r="I49" s="6" t="n">
        <v>3</v>
      </c>
      <c r="J49" s="6" t="n">
        <v>0.04</v>
      </c>
      <c r="K49" s="6"/>
      <c r="L49" s="6" t="n">
        <v>920</v>
      </c>
      <c r="M49" s="6" t="n">
        <v>920</v>
      </c>
      <c r="N49" s="6"/>
      <c r="O49" s="6"/>
      <c r="P49" s="6"/>
      <c r="Q49" s="7" t="str">
        <f aca="false">IF(AND(ISNUMBER(N49),ISNUMBER(J49),ISNUMBER(O49)),IF(AND(N49&gt;0,J49&gt;0,O49&gt;0),N49/J49*O49,"N/A"),"N/A")</f>
        <v>N/A</v>
      </c>
      <c r="R49" s="8" t="str">
        <f aca="false">IF(ISNUMBER(Q49),ROUND(1+9*PERCENTRANK($Q$2:$Q$140,Q49),1),"N/A")</f>
        <v>N/A</v>
      </c>
      <c r="S49" s="6"/>
      <c r="T49" s="6" t="n">
        <v>1000</v>
      </c>
      <c r="U49" s="6"/>
      <c r="V49" s="6" t="s">
        <v>70</v>
      </c>
      <c r="W49" s="6" t="s">
        <v>70</v>
      </c>
      <c r="X49" s="6" t="n">
        <v>950</v>
      </c>
      <c r="Y49" s="6" t="n">
        <v>15</v>
      </c>
      <c r="Z49" s="6" t="n">
        <v>49</v>
      </c>
      <c r="AA49" s="6" t="n">
        <v>10</v>
      </c>
      <c r="AB49" s="6"/>
      <c r="AC49" s="6"/>
      <c r="AD49" s="6"/>
      <c r="AE49" s="6" t="n">
        <v>1E-006</v>
      </c>
      <c r="AF49" s="7" t="n">
        <f aca="false">IF(AND(ISNUMBER(G49),ISNUMBER(AE49)),IF(AE49&gt;0,G49/AE49,"N/A"),"N/A")</f>
        <v>0</v>
      </c>
      <c r="AG49" s="6" t="s">
        <v>126</v>
      </c>
      <c r="AH49" s="6" t="s">
        <v>63</v>
      </c>
      <c r="AI49" s="3" t="s">
        <v>178</v>
      </c>
      <c r="AJ49" s="6"/>
    </row>
    <row r="50" customFormat="false" ht="38.25" hidden="false" customHeight="true" outlineLevel="0" collapsed="false">
      <c r="A50" s="6" t="s">
        <v>56</v>
      </c>
      <c r="B50" s="6" t="s">
        <v>179</v>
      </c>
      <c r="C50" s="6" t="s">
        <v>180</v>
      </c>
      <c r="D50" s="6" t="s">
        <v>181</v>
      </c>
      <c r="E50" s="3" t="s">
        <v>182</v>
      </c>
      <c r="F50" s="3" t="s">
        <v>183</v>
      </c>
      <c r="G50" s="6" t="n">
        <v>19</v>
      </c>
      <c r="H50" s="6" t="n">
        <v>400</v>
      </c>
      <c r="I50" s="6" t="n">
        <v>3</v>
      </c>
      <c r="J50" s="6" t="n">
        <v>160</v>
      </c>
      <c r="K50" s="6" t="s">
        <v>184</v>
      </c>
      <c r="L50" s="6"/>
      <c r="M50" s="6"/>
      <c r="N50" s="6" t="n">
        <v>44000</v>
      </c>
      <c r="O50" s="6" t="n">
        <v>6</v>
      </c>
      <c r="P50" s="6" t="n">
        <v>60</v>
      </c>
      <c r="Q50" s="7" t="n">
        <f aca="false">IF(AND(ISNUMBER(N50),ISNUMBER(J50),ISNUMBER(O50)),IF(AND(N50&gt;0,J50&gt;0,O50&gt;0),N50/J50*O50,"N/A"),"N/A")</f>
        <v>1650</v>
      </c>
      <c r="R50" s="8" t="n">
        <f aca="false">IF(ISNUMBER(Q50),ROUND(1+9*PERCENTRANK($Q$2:$Q$140,Q50),1),"N/A")</f>
        <v>6.1</v>
      </c>
      <c r="S50" s="6" t="n">
        <v>2000</v>
      </c>
      <c r="T50" s="6" t="n">
        <v>35000</v>
      </c>
      <c r="U50" s="6" t="n">
        <v>2</v>
      </c>
      <c r="V50" s="6" t="s">
        <v>70</v>
      </c>
      <c r="W50" s="6" t="s">
        <v>70</v>
      </c>
      <c r="X50" s="6"/>
      <c r="Y50" s="6"/>
      <c r="Z50" s="6"/>
      <c r="AA50" s="6"/>
      <c r="AB50" s="6"/>
      <c r="AC50" s="6"/>
      <c r="AD50" s="6" t="n">
        <v>30</v>
      </c>
      <c r="AE50" s="6" t="n">
        <v>0.89</v>
      </c>
      <c r="AF50" s="7" t="n">
        <f aca="false">IF(AND(ISNUMBER(G50),ISNUMBER(AE50)),IF(AE50&gt;0,G50/AE50,"N/A"),"N/A")</f>
        <v>21.3483146067416</v>
      </c>
      <c r="AG50" s="6" t="s">
        <v>185</v>
      </c>
      <c r="AH50" s="6" t="s">
        <v>186</v>
      </c>
      <c r="AI50" s="3" t="s">
        <v>187</v>
      </c>
      <c r="AJ50" s="6"/>
    </row>
    <row r="51" customFormat="false" ht="38.25" hidden="false" customHeight="true" outlineLevel="0" collapsed="false">
      <c r="A51" s="6" t="s">
        <v>56</v>
      </c>
      <c r="B51" s="6" t="s">
        <v>188</v>
      </c>
      <c r="C51" s="6" t="s">
        <v>180</v>
      </c>
      <c r="D51" s="6" t="s">
        <v>181</v>
      </c>
      <c r="E51" s="3" t="s">
        <v>189</v>
      </c>
      <c r="F51" s="3" t="s">
        <v>190</v>
      </c>
      <c r="G51" s="6" t="n">
        <v>25</v>
      </c>
      <c r="H51" s="6" t="n">
        <v>400</v>
      </c>
      <c r="I51" s="6" t="n">
        <v>4</v>
      </c>
      <c r="J51" s="6" t="n">
        <v>200</v>
      </c>
      <c r="K51" s="6" t="s">
        <v>191</v>
      </c>
      <c r="L51" s="6"/>
      <c r="M51" s="6"/>
      <c r="N51" s="6" t="n">
        <v>23500</v>
      </c>
      <c r="O51" s="6" t="n">
        <v>60</v>
      </c>
      <c r="P51" s="6" t="n">
        <v>65</v>
      </c>
      <c r="Q51" s="7" t="n">
        <f aca="false">IF(AND(ISNUMBER(N51),ISNUMBER(J51),ISNUMBER(O51)),IF(AND(N51&gt;0,J51&gt;0,O51&gt;0),N51/J51*O51,"N/A"),"N/A")</f>
        <v>7050</v>
      </c>
      <c r="R51" s="8" t="n">
        <f aca="false">IF(ISNUMBER(Q51),ROUND(1+9*PERCENTRANK($Q$2:$Q$140,Q51),1),"N/A")</f>
        <v>8.7</v>
      </c>
      <c r="S51" s="6" t="n">
        <v>5000</v>
      </c>
      <c r="T51" s="6" t="n">
        <v>100000</v>
      </c>
      <c r="U51" s="6" t="n">
        <v>2</v>
      </c>
      <c r="V51" s="6" t="s">
        <v>70</v>
      </c>
      <c r="W51" s="6" t="s">
        <v>70</v>
      </c>
      <c r="X51" s="6"/>
      <c r="Y51" s="6"/>
      <c r="Z51" s="6"/>
      <c r="AA51" s="6"/>
      <c r="AB51" s="6"/>
      <c r="AC51" s="6"/>
      <c r="AD51" s="6" t="n">
        <v>30</v>
      </c>
      <c r="AE51" s="6" t="n">
        <v>2.1</v>
      </c>
      <c r="AF51" s="7" t="n">
        <f aca="false">IF(AND(ISNUMBER(G51),ISNUMBER(AE51)),IF(AE51&gt;0,G51/AE51,"N/A"),"N/A")</f>
        <v>11.9047619047619</v>
      </c>
      <c r="AG51" s="6" t="s">
        <v>185</v>
      </c>
      <c r="AH51" s="6" t="s">
        <v>186</v>
      </c>
      <c r="AI51" s="3" t="s">
        <v>192</v>
      </c>
      <c r="AJ51" s="6"/>
    </row>
    <row r="52" customFormat="false" ht="38.25" hidden="false" customHeight="true" outlineLevel="0" collapsed="false">
      <c r="A52" s="6" t="s">
        <v>56</v>
      </c>
      <c r="B52" s="6" t="s">
        <v>193</v>
      </c>
      <c r="C52" s="6" t="s">
        <v>180</v>
      </c>
      <c r="D52" s="6" t="s">
        <v>59</v>
      </c>
      <c r="E52" s="3" t="s">
        <v>194</v>
      </c>
      <c r="F52" s="3" t="s">
        <v>195</v>
      </c>
      <c r="G52" s="6" t="n">
        <v>9</v>
      </c>
      <c r="H52" s="6" t="n">
        <v>1550</v>
      </c>
      <c r="I52" s="6" t="n">
        <v>7</v>
      </c>
      <c r="J52" s="6" t="n">
        <v>50</v>
      </c>
      <c r="K52" s="6" t="s">
        <v>196</v>
      </c>
      <c r="L52" s="6"/>
      <c r="M52" s="6"/>
      <c r="N52" s="6" t="n">
        <v>4000</v>
      </c>
      <c r="O52" s="6" t="n">
        <v>3.5</v>
      </c>
      <c r="P52" s="6" t="n">
        <v>20</v>
      </c>
      <c r="Q52" s="7" t="n">
        <f aca="false">IF(AND(ISNUMBER(N52),ISNUMBER(J52),ISNUMBER(O52)),IF(AND(N52&gt;0,J52&gt;0,O52&gt;0),N52/J52*O52,"N/A"),"N/A")</f>
        <v>280</v>
      </c>
      <c r="R52" s="8" t="n">
        <f aca="false">IF(ISNUMBER(Q52),ROUND(1+9*PERCENTRANK($Q$2:$Q$140,Q52),1),"N/A")</f>
        <v>1.2</v>
      </c>
      <c r="S52" s="6" t="n">
        <v>1000</v>
      </c>
      <c r="T52" s="6" t="n">
        <v>10000</v>
      </c>
      <c r="U52" s="6"/>
      <c r="V52" s="6" t="s">
        <v>70</v>
      </c>
      <c r="W52" s="6" t="n">
        <v>50</v>
      </c>
      <c r="X52" s="6"/>
      <c r="Y52" s="6"/>
      <c r="Z52" s="6"/>
      <c r="AA52" s="6"/>
      <c r="AB52" s="6" t="n">
        <v>12</v>
      </c>
      <c r="AC52" s="6" t="n">
        <v>4</v>
      </c>
      <c r="AD52" s="6" t="n">
        <v>20</v>
      </c>
      <c r="AE52" s="6" t="n">
        <v>0.09</v>
      </c>
      <c r="AF52" s="7" t="n">
        <f aca="false">IF(AND(ISNUMBER(G52),ISNUMBER(AE52)),IF(AE52&gt;0,G52/AE52,"N/A"),"N/A")</f>
        <v>100</v>
      </c>
      <c r="AG52" s="6" t="s">
        <v>185</v>
      </c>
      <c r="AH52" s="6" t="s">
        <v>63</v>
      </c>
      <c r="AI52" s="3" t="s">
        <v>197</v>
      </c>
      <c r="AJ52" s="3" t="s">
        <v>84</v>
      </c>
    </row>
    <row r="53" customFormat="false" ht="38.25" hidden="false" customHeight="true" outlineLevel="0" collapsed="false">
      <c r="A53" s="6" t="s">
        <v>56</v>
      </c>
      <c r="B53" s="6" t="s">
        <v>198</v>
      </c>
      <c r="C53" s="6" t="s">
        <v>180</v>
      </c>
      <c r="D53" s="6" t="s">
        <v>59</v>
      </c>
      <c r="E53" s="3" t="s">
        <v>199</v>
      </c>
      <c r="F53" s="3" t="s">
        <v>200</v>
      </c>
      <c r="G53" s="6" t="n">
        <v>130</v>
      </c>
      <c r="H53" s="6" t="n">
        <v>2500</v>
      </c>
      <c r="I53" s="6" t="n">
        <v>7.9</v>
      </c>
      <c r="J53" s="6" t="n">
        <v>250</v>
      </c>
      <c r="K53" s="6" t="s">
        <v>201</v>
      </c>
      <c r="L53" s="6"/>
      <c r="M53" s="6"/>
      <c r="N53" s="6" t="n">
        <v>22000</v>
      </c>
      <c r="O53" s="6" t="n">
        <v>3.5</v>
      </c>
      <c r="P53" s="6" t="n">
        <v>100</v>
      </c>
      <c r="Q53" s="7" t="n">
        <f aca="false">IF(AND(ISNUMBER(N53),ISNUMBER(J53),ISNUMBER(O53)),IF(AND(N53&gt;0,J53&gt;0,O53&gt;0),N53/J53*O53,"N/A"),"N/A")</f>
        <v>308</v>
      </c>
      <c r="R53" s="8" t="n">
        <f aca="false">IF(ISNUMBER(Q53),ROUND(1+9*PERCENTRANK($Q$2:$Q$140,Q53),1),"N/A")</f>
        <v>1.6</v>
      </c>
      <c r="S53" s="6" t="n">
        <v>1000</v>
      </c>
      <c r="T53" s="6" t="n">
        <v>15000</v>
      </c>
      <c r="U53" s="6"/>
      <c r="V53" s="6" t="s">
        <v>70</v>
      </c>
      <c r="W53" s="6" t="n">
        <v>50</v>
      </c>
      <c r="X53" s="6"/>
      <c r="Y53" s="6"/>
      <c r="Z53" s="6"/>
      <c r="AA53" s="6"/>
      <c r="AB53" s="6"/>
      <c r="AC53" s="6"/>
      <c r="AD53" s="6" t="n">
        <v>20</v>
      </c>
      <c r="AE53" s="6" t="n">
        <v>0.12</v>
      </c>
      <c r="AF53" s="7" t="n">
        <f aca="false">IF(AND(ISNUMBER(G53),ISNUMBER(AE53)),IF(AE53&gt;0,G53/AE53,"N/A"),"N/A")</f>
        <v>1083.33333333333</v>
      </c>
      <c r="AG53" s="6" t="s">
        <v>185</v>
      </c>
      <c r="AH53" s="6" t="s">
        <v>63</v>
      </c>
      <c r="AI53" s="3" t="s">
        <v>202</v>
      </c>
      <c r="AJ53" s="3" t="s">
        <v>84</v>
      </c>
    </row>
    <row r="54" customFormat="false" ht="51" hidden="false" customHeight="true" outlineLevel="0" collapsed="false">
      <c r="A54" s="6" t="s">
        <v>56</v>
      </c>
      <c r="B54" s="6" t="s">
        <v>203</v>
      </c>
      <c r="C54" s="6" t="s">
        <v>180</v>
      </c>
      <c r="D54" s="6" t="s">
        <v>204</v>
      </c>
      <c r="E54" s="3" t="s">
        <v>205</v>
      </c>
      <c r="F54" s="3" t="s">
        <v>206</v>
      </c>
      <c r="G54" s="6" t="n">
        <v>250</v>
      </c>
      <c r="H54" s="6" t="n">
        <v>150</v>
      </c>
      <c r="I54" s="6" t="n">
        <v>6</v>
      </c>
      <c r="J54" s="6" t="n">
        <v>450</v>
      </c>
      <c r="K54" s="6" t="s">
        <v>207</v>
      </c>
      <c r="L54" s="6"/>
      <c r="M54" s="6"/>
      <c r="N54" s="6" t="n">
        <v>3600</v>
      </c>
      <c r="O54" s="6" t="n">
        <v>300</v>
      </c>
      <c r="P54" s="6" t="n">
        <v>100</v>
      </c>
      <c r="Q54" s="7" t="n">
        <f aca="false">IF(AND(ISNUMBER(N54),ISNUMBER(J54),ISNUMBER(O54)),IF(AND(N54&gt;0,J54&gt;0,O54&gt;0),N54/J54*O54,"N/A"),"N/A")</f>
        <v>2400</v>
      </c>
      <c r="R54" s="8" t="n">
        <f aca="false">IF(ISNUMBER(Q54),ROUND(1+9*PERCENTRANK($Q$2:$Q$140,Q54),1),"N/A")</f>
        <v>7.6</v>
      </c>
      <c r="S54" s="6" t="n">
        <v>1000</v>
      </c>
      <c r="T54" s="6" t="n">
        <v>100000</v>
      </c>
      <c r="U54" s="6"/>
      <c r="V54" s="6" t="n">
        <v>50</v>
      </c>
      <c r="W54" s="6" t="n">
        <v>30</v>
      </c>
      <c r="X54" s="6"/>
      <c r="Y54" s="6"/>
      <c r="Z54" s="6"/>
      <c r="AA54" s="6"/>
      <c r="AB54" s="6" t="n">
        <v>16</v>
      </c>
      <c r="AC54" s="6" t="n">
        <v>1.5</v>
      </c>
      <c r="AD54" s="6"/>
      <c r="AE54" s="6" t="n">
        <v>1.25</v>
      </c>
      <c r="AF54" s="7" t="n">
        <f aca="false">IF(AND(ISNUMBER(G54),ISNUMBER(AE54)),IF(AE54&gt;0,G54/AE54,"N/A"),"N/A")</f>
        <v>200</v>
      </c>
      <c r="AG54" s="6" t="s">
        <v>208</v>
      </c>
      <c r="AH54" s="6" t="s">
        <v>77</v>
      </c>
      <c r="AI54" s="3" t="s">
        <v>209</v>
      </c>
      <c r="AJ54" s="6"/>
    </row>
    <row r="55" customFormat="false" ht="38.25" hidden="false" customHeight="true" outlineLevel="0" collapsed="false">
      <c r="A55" s="6" t="s">
        <v>56</v>
      </c>
      <c r="B55" s="6" t="s">
        <v>210</v>
      </c>
      <c r="C55" s="6" t="s">
        <v>180</v>
      </c>
      <c r="D55" s="6" t="s">
        <v>204</v>
      </c>
      <c r="E55" s="3" t="s">
        <v>211</v>
      </c>
      <c r="F55" s="3" t="s">
        <v>212</v>
      </c>
      <c r="G55" s="6" t="n">
        <v>450</v>
      </c>
      <c r="H55" s="6" t="n">
        <v>1000</v>
      </c>
      <c r="I55" s="6" t="n">
        <v>9</v>
      </c>
      <c r="J55" s="6" t="n">
        <v>900</v>
      </c>
      <c r="K55" s="6" t="s">
        <v>213</v>
      </c>
      <c r="L55" s="6"/>
      <c r="M55" s="6"/>
      <c r="N55" s="6" t="n">
        <v>4200</v>
      </c>
      <c r="O55" s="6" t="n">
        <v>600</v>
      </c>
      <c r="P55" s="6" t="n">
        <v>400</v>
      </c>
      <c r="Q55" s="7" t="n">
        <f aca="false">IF(AND(ISNUMBER(N55),ISNUMBER(J55),ISNUMBER(O55)),IF(AND(N55&gt;0,J55&gt;0,O55&gt;0),N55/J55*O55,"N/A"),"N/A")</f>
        <v>2800</v>
      </c>
      <c r="R55" s="8" t="n">
        <f aca="false">IF(ISNUMBER(Q55),ROUND(1+9*PERCENTRANK($Q$2:$Q$140,Q55),1),"N/A")</f>
        <v>7.9</v>
      </c>
      <c r="S55" s="6" t="n">
        <v>2000</v>
      </c>
      <c r="T55" s="6" t="n">
        <v>1000000</v>
      </c>
      <c r="U55" s="6"/>
      <c r="V55" s="6" t="n">
        <v>100</v>
      </c>
      <c r="W55" s="6" t="n">
        <v>30</v>
      </c>
      <c r="X55" s="6"/>
      <c r="Y55" s="6"/>
      <c r="Z55" s="6"/>
      <c r="AA55" s="6"/>
      <c r="AB55" s="6"/>
      <c r="AC55" s="6"/>
      <c r="AD55" s="6"/>
      <c r="AE55" s="6" t="n">
        <v>1.5</v>
      </c>
      <c r="AF55" s="7" t="n">
        <f aca="false">IF(AND(ISNUMBER(G55),ISNUMBER(AE55)),IF(AE55&gt;0,G55/AE55,"N/A"),"N/A")</f>
        <v>300</v>
      </c>
      <c r="AG55" s="6" t="s">
        <v>208</v>
      </c>
      <c r="AH55" s="6" t="s">
        <v>77</v>
      </c>
      <c r="AI55" s="3" t="s">
        <v>214</v>
      </c>
      <c r="AJ55" s="3" t="s">
        <v>84</v>
      </c>
    </row>
    <row r="56" customFormat="false" ht="25.5" hidden="false" customHeight="true" outlineLevel="0" collapsed="false">
      <c r="A56" s="6" t="s">
        <v>56</v>
      </c>
      <c r="B56" s="6" t="s">
        <v>215</v>
      </c>
      <c r="C56" s="6" t="s">
        <v>180</v>
      </c>
      <c r="D56" s="6" t="s">
        <v>216</v>
      </c>
      <c r="E56" s="6" t="s">
        <v>217</v>
      </c>
      <c r="F56" s="6" t="s">
        <v>218</v>
      </c>
      <c r="G56" s="6" t="n">
        <v>70</v>
      </c>
      <c r="H56" s="6" t="n">
        <v>0</v>
      </c>
      <c r="I56" s="6" t="n">
        <v>4</v>
      </c>
      <c r="J56" s="6" t="n">
        <v>400</v>
      </c>
      <c r="K56" s="6" t="s">
        <v>219</v>
      </c>
      <c r="L56" s="6"/>
      <c r="M56" s="6"/>
      <c r="N56" s="6" t="n">
        <v>73000</v>
      </c>
      <c r="O56" s="6" t="n">
        <v>10</v>
      </c>
      <c r="P56" s="6" t="n">
        <v>150</v>
      </c>
      <c r="Q56" s="7" t="n">
        <f aca="false">IF(AND(ISNUMBER(N56),ISNUMBER(J56),ISNUMBER(O56)),IF(AND(N56&gt;0,J56&gt;0,O56&gt;0),N56/J56*O56,"N/A"),"N/A")</f>
        <v>1825</v>
      </c>
      <c r="R56" s="8" t="n">
        <f aca="false">IF(ISNUMBER(Q56),ROUND(1+9*PERCENTRANK($Q$2:$Q$140,Q56),1),"N/A")</f>
        <v>6.4</v>
      </c>
      <c r="S56" s="6" t="n">
        <v>1000</v>
      </c>
      <c r="T56" s="6" t="n">
        <v>60000</v>
      </c>
      <c r="U56" s="6"/>
      <c r="V56" s="6" t="s">
        <v>70</v>
      </c>
      <c r="W56" s="6" t="n">
        <v>100</v>
      </c>
      <c r="X56" s="6"/>
      <c r="Y56" s="6"/>
      <c r="Z56" s="6"/>
      <c r="AA56" s="6"/>
      <c r="AB56" s="6"/>
      <c r="AC56" s="6"/>
      <c r="AD56" s="6"/>
      <c r="AE56" s="6" t="n">
        <v>0.68</v>
      </c>
      <c r="AF56" s="7" t="n">
        <f aca="false">IF(AND(ISNUMBER(G56),ISNUMBER(AE56)),IF(AE56&gt;0,G56/AE56,"N/A"),"N/A")</f>
        <v>102.941176470588</v>
      </c>
      <c r="AG56" s="6" t="s">
        <v>185</v>
      </c>
      <c r="AH56" s="6" t="s">
        <v>122</v>
      </c>
      <c r="AI56" s="3" t="s">
        <v>220</v>
      </c>
      <c r="AJ56" s="6"/>
    </row>
    <row r="57" customFormat="false" ht="38.25" hidden="false" customHeight="true" outlineLevel="0" collapsed="false">
      <c r="A57" s="6" t="s">
        <v>56</v>
      </c>
      <c r="B57" s="6" t="s">
        <v>221</v>
      </c>
      <c r="C57" s="6" t="s">
        <v>180</v>
      </c>
      <c r="D57" s="6" t="s">
        <v>216</v>
      </c>
      <c r="E57" s="6" t="s">
        <v>222</v>
      </c>
      <c r="F57" s="6" t="s">
        <v>218</v>
      </c>
      <c r="G57" s="6" t="n">
        <v>32</v>
      </c>
      <c r="H57" s="6" t="n">
        <v>0</v>
      </c>
      <c r="I57" s="6" t="n">
        <v>4</v>
      </c>
      <c r="J57" s="6" t="n">
        <v>180</v>
      </c>
      <c r="K57" s="6" t="s">
        <v>223</v>
      </c>
      <c r="L57" s="6"/>
      <c r="M57" s="6" t="n">
        <v>1156.87</v>
      </c>
      <c r="N57" s="6" t="n">
        <v>20000</v>
      </c>
      <c r="O57" s="6" t="n">
        <v>7</v>
      </c>
      <c r="P57" s="6" t="n">
        <v>68</v>
      </c>
      <c r="Q57" s="7" t="n">
        <f aca="false">IF(AND(ISNUMBER(N57),ISNUMBER(J57),ISNUMBER(O57)),IF(AND(N57&gt;0,J57&gt;0,O57&gt;0),N57/J57*O57,"N/A"),"N/A")</f>
        <v>777.777777777778</v>
      </c>
      <c r="R57" s="8" t="n">
        <f aca="false">IF(ISNUMBER(Q57),ROUND(1+9*PERCENTRANK($Q$2:$Q$140,Q57),1),"N/A")</f>
        <v>4.2</v>
      </c>
      <c r="S57" s="6" t="n">
        <v>1000</v>
      </c>
      <c r="T57" s="6" t="n">
        <v>25000</v>
      </c>
      <c r="U57" s="6"/>
      <c r="V57" s="6" t="s">
        <v>70</v>
      </c>
      <c r="W57" s="6" t="n">
        <v>100</v>
      </c>
      <c r="X57" s="6"/>
      <c r="Y57" s="6"/>
      <c r="Z57" s="6"/>
      <c r="AA57" s="6"/>
      <c r="AB57" s="6"/>
      <c r="AC57" s="6"/>
      <c r="AD57" s="6" t="n">
        <v>20</v>
      </c>
      <c r="AE57" s="6" t="n">
        <v>0.39</v>
      </c>
      <c r="AF57" s="7" t="n">
        <f aca="false">IF(AND(ISNUMBER(G57),ISNUMBER(AE57)),IF(AE57&gt;0,G57/AE57,"N/A"),"N/A")</f>
        <v>82.051282051282</v>
      </c>
      <c r="AG57" s="6" t="s">
        <v>185</v>
      </c>
      <c r="AH57" s="6" t="s">
        <v>122</v>
      </c>
      <c r="AI57" s="3" t="s">
        <v>224</v>
      </c>
      <c r="AJ57" s="6"/>
    </row>
    <row r="58" customFormat="false" ht="38.25" hidden="false" customHeight="true" outlineLevel="0" collapsed="false">
      <c r="A58" s="6" t="s">
        <v>56</v>
      </c>
      <c r="B58" s="6" t="s">
        <v>225</v>
      </c>
      <c r="C58" s="6" t="s">
        <v>180</v>
      </c>
      <c r="D58" s="6" t="s">
        <v>204</v>
      </c>
      <c r="E58" s="3" t="s">
        <v>226</v>
      </c>
      <c r="F58" s="3" t="s">
        <v>227</v>
      </c>
      <c r="G58" s="6" t="n">
        <v>300</v>
      </c>
      <c r="H58" s="6" t="n">
        <v>300</v>
      </c>
      <c r="I58" s="6" t="n">
        <v>8</v>
      </c>
      <c r="J58" s="6" t="n">
        <v>600</v>
      </c>
      <c r="K58" s="6" t="s">
        <v>213</v>
      </c>
      <c r="L58" s="6"/>
      <c r="M58" s="6"/>
      <c r="N58" s="6" t="n">
        <v>5000</v>
      </c>
      <c r="O58" s="6" t="n">
        <v>600</v>
      </c>
      <c r="P58" s="6" t="n">
        <v>200</v>
      </c>
      <c r="Q58" s="7" t="n">
        <f aca="false">IF(AND(ISNUMBER(N58),ISNUMBER(J58),ISNUMBER(O58)),IF(AND(N58&gt;0,J58&gt;0,O58&gt;0),N58/J58*O58,"N/A"),"N/A")</f>
        <v>5000</v>
      </c>
      <c r="R58" s="8" t="n">
        <f aca="false">IF(ISNUMBER(Q58),ROUND(1+9*PERCENTRANK($Q$2:$Q$140,Q58),1),"N/A")</f>
        <v>8.3</v>
      </c>
      <c r="S58" s="6" t="n">
        <v>5000</v>
      </c>
      <c r="T58" s="6" t="n">
        <v>250000</v>
      </c>
      <c r="U58" s="6"/>
      <c r="V58" s="6" t="n">
        <v>50</v>
      </c>
      <c r="W58" s="6" t="n">
        <v>30</v>
      </c>
      <c r="X58" s="6"/>
      <c r="Y58" s="6"/>
      <c r="Z58" s="6"/>
      <c r="AA58" s="6"/>
      <c r="AB58" s="6" t="n">
        <v>8</v>
      </c>
      <c r="AC58" s="6" t="n">
        <v>0.5</v>
      </c>
      <c r="AD58" s="6"/>
      <c r="AE58" s="6" t="n">
        <v>2</v>
      </c>
      <c r="AF58" s="7" t="n">
        <f aca="false">IF(AND(ISNUMBER(G58),ISNUMBER(AE58)),IF(AE58&gt;0,G58/AE58,"N/A"),"N/A")</f>
        <v>150</v>
      </c>
      <c r="AG58" s="6" t="s">
        <v>208</v>
      </c>
      <c r="AH58" s="6" t="s">
        <v>77</v>
      </c>
      <c r="AI58" s="3" t="s">
        <v>228</v>
      </c>
      <c r="AJ58" s="3" t="s">
        <v>84</v>
      </c>
    </row>
    <row r="59" customFormat="false" ht="25.5" hidden="false" customHeight="true" outlineLevel="0" collapsed="false">
      <c r="A59" s="6" t="s">
        <v>56</v>
      </c>
      <c r="B59" s="6" t="s">
        <v>229</v>
      </c>
      <c r="C59" s="6" t="s">
        <v>180</v>
      </c>
      <c r="D59" s="6" t="s">
        <v>59</v>
      </c>
      <c r="E59" s="6" t="s">
        <v>230</v>
      </c>
      <c r="F59" s="3" t="s">
        <v>75</v>
      </c>
      <c r="G59" s="6" t="n">
        <v>8</v>
      </c>
      <c r="H59" s="6" t="n">
        <v>1600</v>
      </c>
      <c r="I59" s="6" t="n">
        <v>7</v>
      </c>
      <c r="J59" s="6" t="n">
        <v>20</v>
      </c>
      <c r="K59" s="6" t="s">
        <v>231</v>
      </c>
      <c r="L59" s="6"/>
      <c r="M59" s="6" t="n">
        <v>252.16</v>
      </c>
      <c r="N59" s="6" t="n">
        <v>2400</v>
      </c>
      <c r="O59" s="6" t="n">
        <v>6</v>
      </c>
      <c r="P59" s="6" t="n">
        <v>10</v>
      </c>
      <c r="Q59" s="7" t="n">
        <f aca="false">IF(AND(ISNUMBER(N59),ISNUMBER(J59),ISNUMBER(O59)),IF(AND(N59&gt;0,J59&gt;0,O59&gt;0),N59/J59*O59,"N/A"),"N/A")</f>
        <v>720</v>
      </c>
      <c r="R59" s="8" t="n">
        <f aca="false">IF(ISNUMBER(Q59),ROUND(1+9*PERCENTRANK($Q$2:$Q$140,Q59),1),"N/A")</f>
        <v>3.8</v>
      </c>
      <c r="S59" s="6" t="n">
        <v>500</v>
      </c>
      <c r="T59" s="6" t="n">
        <v>4000</v>
      </c>
      <c r="U59" s="6"/>
      <c r="V59" s="6" t="n">
        <v>200</v>
      </c>
      <c r="W59" s="6" t="n">
        <v>30</v>
      </c>
      <c r="X59" s="6"/>
      <c r="Y59" s="6"/>
      <c r="Z59" s="6"/>
      <c r="AA59" s="6"/>
      <c r="AB59" s="6" t="n">
        <v>6</v>
      </c>
      <c r="AC59" s="6" t="n">
        <v>10</v>
      </c>
      <c r="AD59" s="6"/>
      <c r="AE59" s="6" t="n">
        <v>0.08</v>
      </c>
      <c r="AF59" s="7" t="n">
        <f aca="false">IF(AND(ISNUMBER(G59),ISNUMBER(AE59)),IF(AE59&gt;0,G59/AE59,"N/A"),"N/A")</f>
        <v>100</v>
      </c>
      <c r="AG59" s="6" t="s">
        <v>185</v>
      </c>
      <c r="AH59" s="6" t="s">
        <v>63</v>
      </c>
      <c r="AI59" s="3" t="s">
        <v>232</v>
      </c>
      <c r="AJ59" s="6"/>
    </row>
    <row r="60" customFormat="false" ht="38.25" hidden="false" customHeight="true" outlineLevel="0" collapsed="false">
      <c r="A60" s="6" t="s">
        <v>56</v>
      </c>
      <c r="B60" s="6" t="s">
        <v>233</v>
      </c>
      <c r="C60" s="6" t="s">
        <v>180</v>
      </c>
      <c r="D60" s="6" t="s">
        <v>59</v>
      </c>
      <c r="E60" s="3" t="s">
        <v>234</v>
      </c>
      <c r="F60" s="3" t="s">
        <v>68</v>
      </c>
      <c r="G60" s="6" t="n">
        <v>8</v>
      </c>
      <c r="H60" s="6" t="n">
        <v>2500</v>
      </c>
      <c r="I60" s="6" t="n">
        <v>7</v>
      </c>
      <c r="J60" s="6" t="n">
        <v>45</v>
      </c>
      <c r="K60" s="6" t="s">
        <v>196</v>
      </c>
      <c r="L60" s="6"/>
      <c r="M60" s="6"/>
      <c r="N60" s="6" t="n">
        <v>5000</v>
      </c>
      <c r="O60" s="6" t="n">
        <v>2.2</v>
      </c>
      <c r="P60" s="6" t="n">
        <v>15</v>
      </c>
      <c r="Q60" s="7" t="n">
        <f aca="false">IF(AND(ISNUMBER(N60),ISNUMBER(J60),ISNUMBER(O60)),IF(AND(N60&gt;0,J60&gt;0,O60&gt;0),N60/J60*O60,"N/A"),"N/A")</f>
        <v>244.444444444444</v>
      </c>
      <c r="R60" s="8" t="n">
        <f aca="false">IF(ISNUMBER(Q60),ROUND(1+9*PERCENTRANK($Q$2:$Q$140,Q60),1),"N/A")</f>
        <v>1</v>
      </c>
      <c r="S60" s="6" t="n">
        <v>1000</v>
      </c>
      <c r="T60" s="6" t="n">
        <v>8000</v>
      </c>
      <c r="U60" s="6"/>
      <c r="V60" s="6" t="s">
        <v>70</v>
      </c>
      <c r="W60" s="6" t="n">
        <v>50</v>
      </c>
      <c r="X60" s="6"/>
      <c r="Y60" s="6"/>
      <c r="Z60" s="6"/>
      <c r="AA60" s="6"/>
      <c r="AB60" s="6"/>
      <c r="AC60" s="6"/>
      <c r="AD60" s="6"/>
      <c r="AE60" s="6" t="n">
        <v>0.1</v>
      </c>
      <c r="AF60" s="7" t="n">
        <f aca="false">IF(AND(ISNUMBER(G60),ISNUMBER(AE60)),IF(AE60&gt;0,G60/AE60,"N/A"),"N/A")</f>
        <v>80</v>
      </c>
      <c r="AG60" s="6" t="s">
        <v>185</v>
      </c>
      <c r="AH60" s="6" t="s">
        <v>63</v>
      </c>
      <c r="AI60" s="3" t="s">
        <v>235</v>
      </c>
      <c r="AJ60" s="6"/>
    </row>
    <row r="61" customFormat="false" ht="38.25" hidden="false" customHeight="true" outlineLevel="0" collapsed="false">
      <c r="A61" s="6" t="s">
        <v>56</v>
      </c>
      <c r="B61" s="6" t="s">
        <v>236</v>
      </c>
      <c r="C61" s="6" t="s">
        <v>180</v>
      </c>
      <c r="D61" s="6" t="s">
        <v>59</v>
      </c>
      <c r="E61" s="3" t="s">
        <v>237</v>
      </c>
      <c r="F61" s="3" t="s">
        <v>195</v>
      </c>
      <c r="G61" s="6" t="n">
        <v>0</v>
      </c>
      <c r="H61" s="6" t="n">
        <v>300</v>
      </c>
      <c r="I61" s="6" t="n">
        <v>10</v>
      </c>
      <c r="J61" s="6" t="n">
        <v>50</v>
      </c>
      <c r="K61" s="6" t="s">
        <v>196</v>
      </c>
      <c r="L61" s="6"/>
      <c r="M61" s="6"/>
      <c r="N61" s="6" t="n">
        <v>4000</v>
      </c>
      <c r="O61" s="6" t="n">
        <v>3.5</v>
      </c>
      <c r="P61" s="6" t="n">
        <v>20</v>
      </c>
      <c r="Q61" s="7" t="n">
        <f aca="false">IF(AND(ISNUMBER(N61),ISNUMBER(J61),ISNUMBER(O61)),IF(AND(N61&gt;0,J61&gt;0,O61&gt;0),N61/J61*O61,"N/A"),"N/A")</f>
        <v>280</v>
      </c>
      <c r="R61" s="8" t="n">
        <f aca="false">IF(ISNUMBER(Q61),ROUND(1+9*PERCENTRANK($Q$2:$Q$140,Q61),1),"N/A")</f>
        <v>1.2</v>
      </c>
      <c r="S61" s="6" t="n">
        <v>1000</v>
      </c>
      <c r="T61" s="6" t="n">
        <v>10000</v>
      </c>
      <c r="U61" s="6"/>
      <c r="V61" s="6" t="s">
        <v>70</v>
      </c>
      <c r="W61" s="6" t="n">
        <v>50</v>
      </c>
      <c r="X61" s="6"/>
      <c r="Y61" s="6"/>
      <c r="Z61" s="6"/>
      <c r="AA61" s="6"/>
      <c r="AB61" s="6"/>
      <c r="AC61" s="6"/>
      <c r="AD61" s="6" t="n">
        <v>20</v>
      </c>
      <c r="AE61" s="6" t="n">
        <v>0.09</v>
      </c>
      <c r="AF61" s="7" t="n">
        <f aca="false">IF(AND(ISNUMBER(G61),ISNUMBER(AE61)),IF(AE61&gt;0,G61/AE61,"N/A"),"N/A")</f>
        <v>0</v>
      </c>
      <c r="AG61" s="6" t="s">
        <v>185</v>
      </c>
      <c r="AH61" s="6" t="s">
        <v>238</v>
      </c>
      <c r="AI61" s="3" t="s">
        <v>239</v>
      </c>
      <c r="AJ61" s="6"/>
    </row>
    <row r="62" customFormat="false" ht="25.5" hidden="false" customHeight="true" outlineLevel="0" collapsed="false">
      <c r="A62" s="6" t="s">
        <v>56</v>
      </c>
      <c r="B62" s="6" t="s">
        <v>240</v>
      </c>
      <c r="C62" s="6" t="s">
        <v>180</v>
      </c>
      <c r="D62" s="6" t="s">
        <v>241</v>
      </c>
      <c r="E62" s="6"/>
      <c r="F62" s="3" t="s">
        <v>242</v>
      </c>
      <c r="G62" s="6" t="n">
        <v>3</v>
      </c>
      <c r="H62" s="6" t="n">
        <v>400</v>
      </c>
      <c r="I62" s="6" t="n">
        <v>4</v>
      </c>
      <c r="J62" s="6" t="n">
        <v>10</v>
      </c>
      <c r="K62" s="6" t="s">
        <v>243</v>
      </c>
      <c r="L62" s="6"/>
      <c r="M62" s="6"/>
      <c r="N62" s="6" t="n">
        <v>2750</v>
      </c>
      <c r="O62" s="6" t="n">
        <v>2</v>
      </c>
      <c r="P62" s="6" t="n">
        <v>4</v>
      </c>
      <c r="Q62" s="7" t="n">
        <f aca="false">IF(AND(ISNUMBER(N62),ISNUMBER(J62),ISNUMBER(O62)),IF(AND(N62&gt;0,J62&gt;0,O62&gt;0),N62/J62*O62,"N/A"),"N/A")</f>
        <v>550</v>
      </c>
      <c r="R62" s="8" t="n">
        <f aca="false">IF(ISNUMBER(Q62),ROUND(1+9*PERCENTRANK($Q$2:$Q$140,Q62),1),"N/A")</f>
        <v>2.1</v>
      </c>
      <c r="S62" s="6" t="n">
        <v>200</v>
      </c>
      <c r="T62" s="6" t="n">
        <v>5000</v>
      </c>
      <c r="U62" s="6"/>
      <c r="V62" s="6" t="n">
        <v>10000</v>
      </c>
      <c r="W62" s="6" t="n">
        <v>700</v>
      </c>
      <c r="X62" s="6"/>
      <c r="Y62" s="6"/>
      <c r="Z62" s="6"/>
      <c r="AA62" s="6"/>
      <c r="AB62" s="6" t="n">
        <v>16</v>
      </c>
      <c r="AC62" s="6" t="n">
        <v>2</v>
      </c>
      <c r="AD62" s="6" t="n">
        <v>20</v>
      </c>
      <c r="AE62" s="6" t="n">
        <v>0.04</v>
      </c>
      <c r="AF62" s="7" t="n">
        <f aca="false">IF(AND(ISNUMBER(G62),ISNUMBER(AE62)),IF(AE62&gt;0,G62/AE62,"N/A"),"N/A")</f>
        <v>75</v>
      </c>
      <c r="AG62" s="6" t="s">
        <v>185</v>
      </c>
      <c r="AH62" s="6" t="s">
        <v>186</v>
      </c>
      <c r="AI62" s="3" t="s">
        <v>244</v>
      </c>
      <c r="AJ62" s="6"/>
    </row>
    <row r="63" customFormat="false" ht="25.5" hidden="false" customHeight="true" outlineLevel="0" collapsed="false">
      <c r="A63" s="6" t="s">
        <v>56</v>
      </c>
      <c r="B63" s="6" t="s">
        <v>245</v>
      </c>
      <c r="C63" s="6" t="s">
        <v>180</v>
      </c>
      <c r="D63" s="6" t="s">
        <v>241</v>
      </c>
      <c r="E63" s="6"/>
      <c r="F63" s="3" t="s">
        <v>246</v>
      </c>
      <c r="G63" s="6" t="n">
        <v>6.5</v>
      </c>
      <c r="H63" s="6" t="n">
        <v>400</v>
      </c>
      <c r="I63" s="6" t="n">
        <v>3</v>
      </c>
      <c r="J63" s="6" t="n">
        <v>60</v>
      </c>
      <c r="K63" s="6" t="s">
        <v>247</v>
      </c>
      <c r="L63" s="6"/>
      <c r="M63" s="6"/>
      <c r="N63" s="6" t="n">
        <v>18000</v>
      </c>
      <c r="O63" s="6" t="n">
        <v>2</v>
      </c>
      <c r="P63" s="6" t="n">
        <v>25</v>
      </c>
      <c r="Q63" s="7" t="n">
        <f aca="false">IF(AND(ISNUMBER(N63),ISNUMBER(J63),ISNUMBER(O63)),IF(AND(N63&gt;0,J63&gt;0,O63&gt;0),N63/J63*O63,"N/A"),"N/A")</f>
        <v>600</v>
      </c>
      <c r="R63" s="8" t="n">
        <f aca="false">IF(ISNUMBER(Q63),ROUND(1+9*PERCENTRANK($Q$2:$Q$140,Q63),1),"N/A")</f>
        <v>2.5</v>
      </c>
      <c r="S63" s="6" t="n">
        <v>500</v>
      </c>
      <c r="T63" s="6" t="n">
        <v>10000</v>
      </c>
      <c r="U63" s="6" t="n">
        <v>2</v>
      </c>
      <c r="V63" s="6" t="s">
        <v>70</v>
      </c>
      <c r="W63" s="6" t="n">
        <v>935</v>
      </c>
      <c r="X63" s="6"/>
      <c r="Y63" s="6"/>
      <c r="Z63" s="6"/>
      <c r="AA63" s="6"/>
      <c r="AB63" s="6" t="n">
        <v>24</v>
      </c>
      <c r="AC63" s="6" t="n">
        <v>5</v>
      </c>
      <c r="AD63" s="6" t="n">
        <v>60</v>
      </c>
      <c r="AE63" s="6" t="n">
        <v>0.18</v>
      </c>
      <c r="AF63" s="7" t="n">
        <f aca="false">IF(AND(ISNUMBER(G63),ISNUMBER(AE63)),IF(AE63&gt;0,G63/AE63,"N/A"),"N/A")</f>
        <v>36.1111111111111</v>
      </c>
      <c r="AG63" s="6" t="s">
        <v>185</v>
      </c>
      <c r="AH63" s="6" t="s">
        <v>186</v>
      </c>
      <c r="AI63" s="3" t="s">
        <v>248</v>
      </c>
      <c r="AJ63" s="6"/>
    </row>
    <row r="64" customFormat="false" ht="25.5" hidden="false" customHeight="true" outlineLevel="0" collapsed="false">
      <c r="A64" s="6" t="s">
        <v>56</v>
      </c>
      <c r="B64" s="6" t="s">
        <v>249</v>
      </c>
      <c r="C64" s="6" t="s">
        <v>180</v>
      </c>
      <c r="D64" s="6" t="s">
        <v>241</v>
      </c>
      <c r="E64" s="6"/>
      <c r="F64" s="3" t="s">
        <v>250</v>
      </c>
      <c r="G64" s="6" t="n">
        <v>11</v>
      </c>
      <c r="H64" s="6" t="n">
        <v>400</v>
      </c>
      <c r="I64" s="6" t="n">
        <v>3</v>
      </c>
      <c r="J64" s="6" t="n">
        <v>100</v>
      </c>
      <c r="K64" s="6" t="s">
        <v>251</v>
      </c>
      <c r="L64" s="6"/>
      <c r="M64" s="6"/>
      <c r="N64" s="6" t="n">
        <v>28000</v>
      </c>
      <c r="O64" s="6" t="n">
        <v>2.2</v>
      </c>
      <c r="P64" s="6" t="n">
        <v>40</v>
      </c>
      <c r="Q64" s="7" t="n">
        <f aca="false">IF(AND(ISNUMBER(N64),ISNUMBER(J64),ISNUMBER(O64)),IF(AND(N64&gt;0,J64&gt;0,O64&gt;0),N64/J64*O64,"N/A"),"N/A")</f>
        <v>616</v>
      </c>
      <c r="R64" s="8" t="n">
        <f aca="false">IF(ISNUMBER(Q64),ROUND(1+9*PERCENTRANK($Q$2:$Q$140,Q64),1),"N/A")</f>
        <v>2.7</v>
      </c>
      <c r="S64" s="6" t="n">
        <v>1000</v>
      </c>
      <c r="T64" s="6" t="n">
        <v>15000</v>
      </c>
      <c r="U64" s="6" t="n">
        <v>2</v>
      </c>
      <c r="V64" s="6" t="s">
        <v>70</v>
      </c>
      <c r="W64" s="6" t="n">
        <v>1200</v>
      </c>
      <c r="X64" s="6"/>
      <c r="Y64" s="6"/>
      <c r="Z64" s="6"/>
      <c r="AA64" s="6"/>
      <c r="AB64" s="6" t="n">
        <v>36</v>
      </c>
      <c r="AC64" s="6" t="n">
        <v>5</v>
      </c>
      <c r="AD64" s="6" t="n">
        <v>80</v>
      </c>
      <c r="AE64" s="6" t="n">
        <v>0.36</v>
      </c>
      <c r="AF64" s="7" t="n">
        <f aca="false">IF(AND(ISNUMBER(G64),ISNUMBER(AE64)),IF(AE64&gt;0,G64/AE64,"N/A"),"N/A")</f>
        <v>30.5555555555556</v>
      </c>
      <c r="AG64" s="6" t="s">
        <v>185</v>
      </c>
      <c r="AH64" s="6" t="s">
        <v>186</v>
      </c>
      <c r="AI64" s="3" t="s">
        <v>252</v>
      </c>
      <c r="AJ64" s="6"/>
    </row>
    <row r="65" customFormat="false" ht="38.25" hidden="false" customHeight="true" outlineLevel="0" collapsed="false">
      <c r="A65" s="6" t="s">
        <v>56</v>
      </c>
      <c r="B65" s="6" t="s">
        <v>253</v>
      </c>
      <c r="C65" s="6" t="s">
        <v>180</v>
      </c>
      <c r="D65" s="6" t="s">
        <v>181</v>
      </c>
      <c r="E65" s="3" t="s">
        <v>254</v>
      </c>
      <c r="F65" s="3" t="s">
        <v>255</v>
      </c>
      <c r="G65" s="6" t="n">
        <v>25</v>
      </c>
      <c r="H65" s="6" t="n">
        <v>400</v>
      </c>
      <c r="I65" s="6" t="n">
        <v>3</v>
      </c>
      <c r="J65" s="6" t="n">
        <v>210</v>
      </c>
      <c r="K65" s="6" t="s">
        <v>184</v>
      </c>
      <c r="L65" s="6"/>
      <c r="M65" s="6"/>
      <c r="N65" s="6" t="n">
        <v>49500</v>
      </c>
      <c r="O65" s="6" t="n">
        <v>8</v>
      </c>
      <c r="P65" s="6" t="n">
        <v>60</v>
      </c>
      <c r="Q65" s="7" t="n">
        <f aca="false">IF(AND(ISNUMBER(N65),ISNUMBER(J65),ISNUMBER(O65)),IF(AND(N65&gt;0,J65&gt;0,O65&gt;0),N65/J65*O65,"N/A"),"N/A")</f>
        <v>1885.71428571429</v>
      </c>
      <c r="R65" s="8" t="n">
        <f aca="false">IF(ISNUMBER(Q65),ROUND(1+9*PERCENTRANK($Q$2:$Q$140,Q65),1),"N/A")</f>
        <v>6.6</v>
      </c>
      <c r="S65" s="6" t="n">
        <v>2000</v>
      </c>
      <c r="T65" s="6" t="n">
        <v>50000</v>
      </c>
      <c r="U65" s="6" t="n">
        <v>2</v>
      </c>
      <c r="V65" s="6" t="s">
        <v>70</v>
      </c>
      <c r="W65" s="6" t="s">
        <v>70</v>
      </c>
      <c r="X65" s="6"/>
      <c r="Y65" s="6"/>
      <c r="Z65" s="6"/>
      <c r="AA65" s="6"/>
      <c r="AB65" s="6" t="n">
        <v>160</v>
      </c>
      <c r="AC65" s="6" t="n">
        <v>3</v>
      </c>
      <c r="AD65" s="6" t="n">
        <v>40</v>
      </c>
      <c r="AE65" s="6" t="n">
        <v>0.89</v>
      </c>
      <c r="AF65" s="7" t="n">
        <f aca="false">IF(AND(ISNUMBER(G65),ISNUMBER(AE65)),IF(AE65&gt;0,G65/AE65,"N/A"),"N/A")</f>
        <v>28.0898876404494</v>
      </c>
      <c r="AG65" s="6" t="s">
        <v>185</v>
      </c>
      <c r="AH65" s="6" t="s">
        <v>186</v>
      </c>
      <c r="AI65" s="3" t="s">
        <v>256</v>
      </c>
      <c r="AJ65" s="6"/>
    </row>
    <row r="66" customFormat="false" ht="63.75" hidden="false" customHeight="true" outlineLevel="0" collapsed="false">
      <c r="A66" s="6" t="s">
        <v>56</v>
      </c>
      <c r="B66" s="6" t="s">
        <v>257</v>
      </c>
      <c r="C66" s="6" t="s">
        <v>180</v>
      </c>
      <c r="D66" s="6" t="s">
        <v>258</v>
      </c>
      <c r="E66" s="6"/>
      <c r="F66" s="6" t="s">
        <v>259</v>
      </c>
      <c r="G66" s="6" t="n">
        <v>1000</v>
      </c>
      <c r="H66" s="6" t="n">
        <v>3000</v>
      </c>
      <c r="I66" s="6" t="n">
        <v>9</v>
      </c>
      <c r="J66" s="6" t="n">
        <v>2500</v>
      </c>
      <c r="K66" s="6" t="s">
        <v>260</v>
      </c>
      <c r="L66" s="6"/>
      <c r="M66" s="6" t="n">
        <v>1430.31</v>
      </c>
      <c r="N66" s="6" t="n">
        <v>70000</v>
      </c>
      <c r="O66" s="6" t="n">
        <v>40</v>
      </c>
      <c r="P66" s="6" t="n">
        <v>1000</v>
      </c>
      <c r="Q66" s="7" t="n">
        <f aca="false">IF(AND(ISNUMBER(N66),ISNUMBER(J66),ISNUMBER(O66)),IF(AND(N66&gt;0,J66&gt;0,O66&gt;0),N66/J66*O66,"N/A"),"N/A")</f>
        <v>1120</v>
      </c>
      <c r="R66" s="8" t="n">
        <f aca="false">IF(ISNUMBER(Q66),ROUND(1+9*PERCENTRANK($Q$2:$Q$140,Q66),1),"N/A")</f>
        <v>5.5</v>
      </c>
      <c r="S66" s="6" t="n">
        <v>20000</v>
      </c>
      <c r="T66" s="6" t="n">
        <v>250000</v>
      </c>
      <c r="U66" s="6"/>
      <c r="V66" s="6" t="s">
        <v>70</v>
      </c>
      <c r="W66" s="6" t="n">
        <v>50</v>
      </c>
      <c r="X66" s="6"/>
      <c r="Y66" s="6"/>
      <c r="Z66" s="6"/>
      <c r="AA66" s="6"/>
      <c r="AB66" s="6" t="n">
        <v>2</v>
      </c>
      <c r="AC66" s="6" t="n">
        <v>1</v>
      </c>
      <c r="AD66" s="6"/>
      <c r="AE66" s="6" t="n">
        <v>8.35</v>
      </c>
      <c r="AF66" s="7" t="n">
        <f aca="false">IF(AND(ISNUMBER(G66),ISNUMBER(AE66)),IF(AE66&gt;0,G66/AE66,"N/A"),"N/A")</f>
        <v>119.760479041916</v>
      </c>
      <c r="AG66" s="6" t="s">
        <v>208</v>
      </c>
      <c r="AH66" s="6" t="s">
        <v>77</v>
      </c>
      <c r="AI66" s="3" t="s">
        <v>261</v>
      </c>
      <c r="AJ66" s="6"/>
    </row>
    <row r="67" customFormat="false" ht="25.5" hidden="false" customHeight="true" outlineLevel="0" collapsed="false">
      <c r="A67" s="6" t="s">
        <v>56</v>
      </c>
      <c r="B67" s="6" t="s">
        <v>262</v>
      </c>
      <c r="C67" s="6" t="s">
        <v>180</v>
      </c>
      <c r="D67" s="6" t="s">
        <v>263</v>
      </c>
      <c r="E67" s="6"/>
      <c r="F67" s="3" t="s">
        <v>264</v>
      </c>
      <c r="G67" s="6" t="n">
        <v>20</v>
      </c>
      <c r="H67" s="6" t="n">
        <v>400</v>
      </c>
      <c r="I67" s="6" t="n">
        <v>4</v>
      </c>
      <c r="J67" s="6" t="n">
        <v>170</v>
      </c>
      <c r="K67" s="6" t="s">
        <v>223</v>
      </c>
      <c r="L67" s="6"/>
      <c r="M67" s="6" t="n">
        <v>1156.96</v>
      </c>
      <c r="N67" s="6" t="n">
        <v>22000.1</v>
      </c>
      <c r="O67" s="6" t="n">
        <v>7</v>
      </c>
      <c r="P67" s="6" t="n">
        <v>68.01</v>
      </c>
      <c r="Q67" s="7" t="n">
        <f aca="false">IF(AND(ISNUMBER(N67),ISNUMBER(J67),ISNUMBER(O67)),IF(AND(N67&gt;0,J67&gt;0,O67&gt;0),N67/J67*O67,"N/A"),"N/A")</f>
        <v>905.886470588235</v>
      </c>
      <c r="R67" s="8" t="n">
        <f aca="false">IF(ISNUMBER(Q67),ROUND(1+9*PERCENTRANK($Q$2:$Q$140,Q67),1),"N/A")</f>
        <v>4.6</v>
      </c>
      <c r="S67" s="6" t="n">
        <v>700</v>
      </c>
      <c r="T67" s="6" t="n">
        <v>15000</v>
      </c>
      <c r="U67" s="6" t="n">
        <v>2</v>
      </c>
      <c r="V67" s="6" t="n">
        <v>20000</v>
      </c>
      <c r="W67" s="6" t="s">
        <v>70</v>
      </c>
      <c r="X67" s="6"/>
      <c r="Y67" s="6"/>
      <c r="Z67" s="6"/>
      <c r="AA67" s="6"/>
      <c r="AB67" s="6" t="n">
        <v>36</v>
      </c>
      <c r="AC67" s="6" t="n">
        <v>4</v>
      </c>
      <c r="AD67" s="6" t="n">
        <v>20</v>
      </c>
      <c r="AE67" s="6" t="n">
        <v>0.2</v>
      </c>
      <c r="AF67" s="7" t="n">
        <f aca="false">IF(AND(ISNUMBER(G67),ISNUMBER(AE67)),IF(AE67&gt;0,G67/AE67,"N/A"),"N/A")</f>
        <v>100</v>
      </c>
      <c r="AG67" s="6" t="s">
        <v>185</v>
      </c>
      <c r="AH67" s="6" t="s">
        <v>186</v>
      </c>
      <c r="AI67" s="3" t="s">
        <v>265</v>
      </c>
      <c r="AJ67" s="6"/>
    </row>
    <row r="68" customFormat="false" ht="25.5" hidden="false" customHeight="true" outlineLevel="0" collapsed="false">
      <c r="A68" s="6" t="s">
        <v>56</v>
      </c>
      <c r="B68" s="6" t="s">
        <v>266</v>
      </c>
      <c r="C68" s="6" t="s">
        <v>180</v>
      </c>
      <c r="D68" s="6" t="s">
        <v>263</v>
      </c>
      <c r="E68" s="6"/>
      <c r="F68" s="3" t="s">
        <v>264</v>
      </c>
      <c r="G68" s="6" t="n">
        <v>45</v>
      </c>
      <c r="H68" s="6" t="n">
        <v>1000</v>
      </c>
      <c r="I68" s="6" t="n">
        <v>4</v>
      </c>
      <c r="J68" s="6" t="n">
        <v>500</v>
      </c>
      <c r="K68" s="6" t="s">
        <v>267</v>
      </c>
      <c r="L68" s="6"/>
      <c r="M68" s="6" t="n">
        <v>1392.69</v>
      </c>
      <c r="N68" s="6" t="n">
        <v>120000</v>
      </c>
      <c r="O68" s="6" t="n">
        <v>9</v>
      </c>
      <c r="P68" s="6" t="n">
        <v>200</v>
      </c>
      <c r="Q68" s="7" t="n">
        <f aca="false">IF(AND(ISNUMBER(N68),ISNUMBER(J68),ISNUMBER(O68)),IF(AND(N68&gt;0,J68&gt;0,O68&gt;0),N68/J68*O68,"N/A"),"N/A")</f>
        <v>2160</v>
      </c>
      <c r="R68" s="8" t="n">
        <f aca="false">IF(ISNUMBER(Q68),ROUND(1+9*PERCENTRANK($Q$2:$Q$140,Q68),1),"N/A")</f>
        <v>7.4</v>
      </c>
      <c r="S68" s="6" t="n">
        <v>2000</v>
      </c>
      <c r="T68" s="6" t="n">
        <v>50000</v>
      </c>
      <c r="U68" s="6" t="n">
        <v>500</v>
      </c>
      <c r="V68" s="6" t="s">
        <v>70</v>
      </c>
      <c r="W68" s="6" t="s">
        <v>70</v>
      </c>
      <c r="X68" s="6"/>
      <c r="Y68" s="6"/>
      <c r="Z68" s="6"/>
      <c r="AA68" s="6"/>
      <c r="AB68" s="6" t="n">
        <v>7</v>
      </c>
      <c r="AC68" s="6" t="n">
        <v>8</v>
      </c>
      <c r="AD68" s="6" t="n">
        <v>20</v>
      </c>
      <c r="AE68" s="6" t="n">
        <v>4</v>
      </c>
      <c r="AF68" s="7" t="n">
        <f aca="false">IF(AND(ISNUMBER(G68),ISNUMBER(AE68)),IF(AE68&gt;0,G68/AE68,"N/A"),"N/A")</f>
        <v>11.25</v>
      </c>
      <c r="AG68" s="6" t="s">
        <v>185</v>
      </c>
      <c r="AH68" s="6" t="s">
        <v>186</v>
      </c>
      <c r="AI68" s="3" t="s">
        <v>268</v>
      </c>
      <c r="AJ68" s="6"/>
    </row>
    <row r="69" customFormat="false" ht="25.5" hidden="false" customHeight="true" outlineLevel="0" collapsed="false">
      <c r="A69" s="6" t="s">
        <v>56</v>
      </c>
      <c r="B69" s="6" t="s">
        <v>269</v>
      </c>
      <c r="C69" s="6" t="s">
        <v>180</v>
      </c>
      <c r="D69" s="6" t="s">
        <v>59</v>
      </c>
      <c r="E69" s="3" t="s">
        <v>270</v>
      </c>
      <c r="F69" s="3" t="s">
        <v>271</v>
      </c>
      <c r="G69" s="6" t="n">
        <v>300</v>
      </c>
      <c r="H69" s="6" t="n">
        <v>1500</v>
      </c>
      <c r="I69" s="6" t="n">
        <v>8</v>
      </c>
      <c r="J69" s="6" t="n">
        <v>650</v>
      </c>
      <c r="K69" s="6" t="s">
        <v>272</v>
      </c>
      <c r="L69" s="6"/>
      <c r="M69" s="6"/>
      <c r="N69" s="6" t="n">
        <v>22000</v>
      </c>
      <c r="O69" s="6" t="n">
        <v>20</v>
      </c>
      <c r="P69" s="6" t="n">
        <v>300</v>
      </c>
      <c r="Q69" s="7" t="n">
        <f aca="false">IF(AND(ISNUMBER(N69),ISNUMBER(J69),ISNUMBER(O69)),IF(AND(N69&gt;0,J69&gt;0,O69&gt;0),N69/J69*O69,"N/A"),"N/A")</f>
        <v>676.923076923077</v>
      </c>
      <c r="R69" s="8" t="n">
        <f aca="false">IF(ISNUMBER(Q69),ROUND(1+9*PERCENTRANK($Q$2:$Q$140,Q69),1),"N/A")</f>
        <v>3.4</v>
      </c>
      <c r="S69" s="6" t="n">
        <v>3000</v>
      </c>
      <c r="T69" s="6" t="n">
        <v>60000</v>
      </c>
      <c r="U69" s="6"/>
      <c r="V69" s="6" t="s">
        <v>70</v>
      </c>
      <c r="W69" s="6" t="n">
        <v>50</v>
      </c>
      <c r="X69" s="6"/>
      <c r="Y69" s="6"/>
      <c r="Z69" s="6"/>
      <c r="AA69" s="6"/>
      <c r="AB69" s="6"/>
      <c r="AC69" s="6"/>
      <c r="AD69" s="6" t="n">
        <v>10</v>
      </c>
      <c r="AE69" s="6" t="n">
        <v>1.65</v>
      </c>
      <c r="AF69" s="7" t="n">
        <f aca="false">IF(AND(ISNUMBER(G69),ISNUMBER(AE69)),IF(AE69&gt;0,G69/AE69,"N/A"),"N/A")</f>
        <v>181.818181818182</v>
      </c>
      <c r="AG69" s="6" t="s">
        <v>185</v>
      </c>
      <c r="AH69" s="6" t="s">
        <v>77</v>
      </c>
      <c r="AI69" s="3" t="s">
        <v>273</v>
      </c>
      <c r="AJ69" s="6"/>
    </row>
    <row r="70" customFormat="false" ht="25.5" hidden="false" customHeight="true" outlineLevel="0" collapsed="false">
      <c r="A70" s="6" t="s">
        <v>56</v>
      </c>
      <c r="B70" s="6" t="s">
        <v>274</v>
      </c>
      <c r="C70" s="6" t="s">
        <v>275</v>
      </c>
      <c r="D70" s="6" t="s">
        <v>59</v>
      </c>
      <c r="E70" s="6"/>
      <c r="F70" s="3" t="s">
        <v>276</v>
      </c>
      <c r="G70" s="6" t="n">
        <v>1500000</v>
      </c>
      <c r="H70" s="6" t="n">
        <v>200</v>
      </c>
      <c r="I70" s="6" t="n">
        <v>7.9</v>
      </c>
      <c r="J70" s="6" t="n">
        <v>373</v>
      </c>
      <c r="K70" s="6" t="s">
        <v>201</v>
      </c>
      <c r="L70" s="6" t="n">
        <v>850</v>
      </c>
      <c r="M70" s="6"/>
      <c r="N70" s="6" t="n">
        <v>162000</v>
      </c>
      <c r="O70" s="6" t="n">
        <v>2</v>
      </c>
      <c r="P70" s="6" t="n">
        <v>120</v>
      </c>
      <c r="Q70" s="7" t="n">
        <f aca="false">IF(AND(ISNUMBER(N70),ISNUMBER(J70),ISNUMBER(O70)),IF(AND(N70&gt;0,J70&gt;0,O70&gt;0),N70/J70*O70,"N/A"),"N/A")</f>
        <v>868.632707774799</v>
      </c>
      <c r="R70" s="8" t="n">
        <f aca="false">IF(ISNUMBER(Q70),ROUND(1+9*PERCENTRANK($Q$2:$Q$140,Q70),1),"N/A")</f>
        <v>4.4</v>
      </c>
      <c r="S70" s="6" t="n">
        <v>10000</v>
      </c>
      <c r="T70" s="6" t="n">
        <v>11000</v>
      </c>
      <c r="U70" s="6"/>
      <c r="V70" s="6" t="s">
        <v>70</v>
      </c>
      <c r="W70" s="6" t="n">
        <v>1000</v>
      </c>
      <c r="X70" s="6"/>
      <c r="Y70" s="6"/>
      <c r="Z70" s="6"/>
      <c r="AA70" s="6"/>
      <c r="AB70" s="6"/>
      <c r="AC70" s="6"/>
      <c r="AD70" s="6"/>
      <c r="AE70" s="6" t="n">
        <v>15</v>
      </c>
      <c r="AF70" s="7" t="n">
        <f aca="false">IF(AND(ISNUMBER(G70),ISNUMBER(AE70)),IF(AE70&gt;0,G70/AE70,"N/A"),"N/A")</f>
        <v>100000</v>
      </c>
      <c r="AG70" s="6" t="s">
        <v>277</v>
      </c>
      <c r="AH70" s="6" t="s">
        <v>278</v>
      </c>
      <c r="AI70" s="3" t="s">
        <v>279</v>
      </c>
      <c r="AJ70" s="6"/>
    </row>
    <row r="71" customFormat="false" ht="25.5" hidden="false" customHeight="true" outlineLevel="0" collapsed="false">
      <c r="A71" s="6" t="s">
        <v>56</v>
      </c>
      <c r="B71" s="6" t="s">
        <v>280</v>
      </c>
      <c r="C71" s="6" t="s">
        <v>275</v>
      </c>
      <c r="D71" s="6" t="s">
        <v>204</v>
      </c>
      <c r="E71" s="3" t="s">
        <v>281</v>
      </c>
      <c r="F71" s="3" t="s">
        <v>271</v>
      </c>
      <c r="G71" s="6" t="n">
        <v>20000000</v>
      </c>
      <c r="H71" s="6" t="n">
        <v>0</v>
      </c>
      <c r="I71" s="6" t="n">
        <v>9</v>
      </c>
      <c r="J71" s="6" t="n">
        <v>1280</v>
      </c>
      <c r="K71" s="6" t="s">
        <v>282</v>
      </c>
      <c r="L71" s="6"/>
      <c r="M71" s="6"/>
      <c r="N71" s="6" t="n">
        <v>4500</v>
      </c>
      <c r="O71" s="6" t="n">
        <v>1000</v>
      </c>
      <c r="P71" s="6" t="n">
        <v>400</v>
      </c>
      <c r="Q71" s="7" t="n">
        <f aca="false">IF(AND(ISNUMBER(N71),ISNUMBER(J71),ISNUMBER(O71)),IF(AND(N71&gt;0,J71&gt;0,O71&gt;0),N71/J71*O71,"N/A"),"N/A")</f>
        <v>3515.625</v>
      </c>
      <c r="R71" s="8" t="n">
        <f aca="false">IF(ISNUMBER(Q71),ROUND(1+9*PERCENTRANK($Q$2:$Q$140,Q71),1),"N/A")</f>
        <v>8.1</v>
      </c>
      <c r="S71" s="6" t="n">
        <v>5000</v>
      </c>
      <c r="T71" s="6" t="n">
        <v>1000000</v>
      </c>
      <c r="U71" s="6"/>
      <c r="V71" s="6" t="n">
        <v>100</v>
      </c>
      <c r="W71" s="6" t="n">
        <v>30</v>
      </c>
      <c r="X71" s="6"/>
      <c r="Y71" s="6"/>
      <c r="Z71" s="6"/>
      <c r="AA71" s="6"/>
      <c r="AB71" s="6"/>
      <c r="AC71" s="6"/>
      <c r="AD71" s="6"/>
      <c r="AE71" s="6" t="n">
        <v>32</v>
      </c>
      <c r="AF71" s="7" t="n">
        <f aca="false">IF(AND(ISNUMBER(G71),ISNUMBER(AE71)),IF(AE71&gt;0,G71/AE71,"N/A"),"N/A")</f>
        <v>625000</v>
      </c>
      <c r="AG71" s="6" t="s">
        <v>283</v>
      </c>
      <c r="AH71" s="6" t="s">
        <v>77</v>
      </c>
      <c r="AI71" s="3" t="s">
        <v>284</v>
      </c>
      <c r="AJ71" s="3" t="s">
        <v>84</v>
      </c>
    </row>
    <row r="72" customFormat="false" ht="63.75" hidden="false" customHeight="true" outlineLevel="0" collapsed="false">
      <c r="A72" s="6" t="s">
        <v>56</v>
      </c>
      <c r="B72" s="6" t="s">
        <v>285</v>
      </c>
      <c r="C72" s="6" t="s">
        <v>275</v>
      </c>
      <c r="D72" s="6" t="s">
        <v>258</v>
      </c>
      <c r="E72" s="6"/>
      <c r="F72" s="6" t="s">
        <v>259</v>
      </c>
      <c r="G72" s="6" t="n">
        <v>20000000</v>
      </c>
      <c r="H72" s="6" t="n">
        <v>1500</v>
      </c>
      <c r="I72" s="6" t="n">
        <v>9</v>
      </c>
      <c r="J72" s="6" t="n">
        <v>2500</v>
      </c>
      <c r="K72" s="6" t="s">
        <v>260</v>
      </c>
      <c r="L72" s="6"/>
      <c r="M72" s="6" t="n">
        <v>1430.31</v>
      </c>
      <c r="N72" s="6" t="n">
        <v>70000</v>
      </c>
      <c r="O72" s="6" t="n">
        <v>40</v>
      </c>
      <c r="P72" s="6" t="n">
        <v>1000</v>
      </c>
      <c r="Q72" s="7" t="n">
        <f aca="false">IF(AND(ISNUMBER(N72),ISNUMBER(J72),ISNUMBER(O72)),IF(AND(N72&gt;0,J72&gt;0,O72&gt;0),N72/J72*O72,"N/A"),"N/A")</f>
        <v>1120</v>
      </c>
      <c r="R72" s="8" t="n">
        <f aca="false">IF(ISNUMBER(Q72),ROUND(1+9*PERCENTRANK($Q$2:$Q$140,Q72),1),"N/A")</f>
        <v>5.5</v>
      </c>
      <c r="S72" s="6" t="n">
        <v>20000</v>
      </c>
      <c r="T72" s="6" t="n">
        <v>250000</v>
      </c>
      <c r="U72" s="6"/>
      <c r="V72" s="6" t="s">
        <v>70</v>
      </c>
      <c r="W72" s="6" t="n">
        <v>50</v>
      </c>
      <c r="X72" s="6"/>
      <c r="Y72" s="6"/>
      <c r="Z72" s="6"/>
      <c r="AA72" s="6"/>
      <c r="AB72" s="6" t="n">
        <v>2</v>
      </c>
      <c r="AC72" s="6" t="n">
        <v>1</v>
      </c>
      <c r="AD72" s="6"/>
      <c r="AE72" s="6" t="n">
        <v>36.349998</v>
      </c>
      <c r="AF72" s="7" t="n">
        <f aca="false">IF(AND(ISNUMBER(G72),ISNUMBER(AE72)),IF(AE72&gt;0,G72/AE72,"N/A"),"N/A")</f>
        <v>550206.357645467</v>
      </c>
      <c r="AG72" s="6" t="s">
        <v>283</v>
      </c>
      <c r="AH72" s="6" t="s">
        <v>77</v>
      </c>
      <c r="AI72" s="3" t="s">
        <v>261</v>
      </c>
      <c r="AJ72" s="6"/>
    </row>
    <row r="73" customFormat="false" ht="51" hidden="false" customHeight="true" outlineLevel="0" collapsed="false">
      <c r="A73" s="6" t="s">
        <v>56</v>
      </c>
      <c r="B73" s="6" t="s">
        <v>286</v>
      </c>
      <c r="C73" s="6" t="s">
        <v>287</v>
      </c>
      <c r="D73" s="6" t="s">
        <v>288</v>
      </c>
      <c r="E73" s="6" t="s">
        <v>289</v>
      </c>
      <c r="F73" s="6" t="s">
        <v>290</v>
      </c>
      <c r="G73" s="6" t="n">
        <v>100</v>
      </c>
      <c r="H73" s="6" t="n">
        <v>1700</v>
      </c>
      <c r="I73" s="6" t="n">
        <v>7</v>
      </c>
      <c r="J73" s="6" t="n">
        <v>300</v>
      </c>
      <c r="K73" s="6" t="s">
        <v>291</v>
      </c>
      <c r="L73" s="6"/>
      <c r="M73" s="6" t="n">
        <v>745.88</v>
      </c>
      <c r="N73" s="6" t="n">
        <v>100000</v>
      </c>
      <c r="O73" s="6" t="n">
        <v>2</v>
      </c>
      <c r="P73" s="6" t="n">
        <v>100</v>
      </c>
      <c r="Q73" s="7" t="n">
        <f aca="false">IF(AND(ISNUMBER(N73),ISNUMBER(J73),ISNUMBER(O73)),IF(AND(N73&gt;0,J73&gt;0,O73&gt;0),N73/J73*O73,"N/A"),"N/A")</f>
        <v>666.666666666667</v>
      </c>
      <c r="R73" s="8" t="n">
        <f aca="false">IF(ISNUMBER(Q73),ROUND(1+9*PERCENTRANK($Q$2:$Q$140,Q73),1),"N/A")</f>
        <v>3.1</v>
      </c>
      <c r="S73" s="6" t="n">
        <v>10000</v>
      </c>
      <c r="T73" s="6" t="n">
        <v>40000</v>
      </c>
      <c r="U73" s="6"/>
      <c r="V73" s="6" t="n">
        <v>1000</v>
      </c>
      <c r="W73" s="6" t="n">
        <v>40</v>
      </c>
      <c r="X73" s="6"/>
      <c r="Y73" s="6"/>
      <c r="Z73" s="6"/>
      <c r="AA73" s="6"/>
      <c r="AB73" s="6" t="n">
        <v>18</v>
      </c>
      <c r="AC73" s="6" t="n">
        <v>1</v>
      </c>
      <c r="AD73" s="6"/>
      <c r="AE73" s="6" t="n">
        <v>0.2</v>
      </c>
      <c r="AF73" s="7" t="n">
        <f aca="false">IF(AND(ISNUMBER(G73),ISNUMBER(AE73)),IF(AE73&gt;0,G73/AE73,"N/A"),"N/A")</f>
        <v>500</v>
      </c>
      <c r="AG73" s="6" t="s">
        <v>292</v>
      </c>
      <c r="AH73" s="6" t="s">
        <v>63</v>
      </c>
      <c r="AI73" s="3" t="s">
        <v>293</v>
      </c>
      <c r="AJ73" s="6"/>
    </row>
    <row r="74" customFormat="false" ht="38.25" hidden="false" customHeight="true" outlineLevel="0" collapsed="false">
      <c r="A74" s="6" t="s">
        <v>56</v>
      </c>
      <c r="B74" s="6" t="s">
        <v>294</v>
      </c>
      <c r="C74" s="6" t="s">
        <v>295</v>
      </c>
      <c r="D74" s="6" t="s">
        <v>296</v>
      </c>
      <c r="E74" s="6"/>
      <c r="F74" s="3" t="s">
        <v>297</v>
      </c>
      <c r="G74" s="6" t="n">
        <v>2.5</v>
      </c>
      <c r="H74" s="6" t="n">
        <v>800</v>
      </c>
      <c r="I74" s="6" t="n">
        <v>5.1</v>
      </c>
      <c r="J74" s="6" t="n">
        <v>11</v>
      </c>
      <c r="K74" s="6" t="s">
        <v>196</v>
      </c>
      <c r="L74" s="6"/>
      <c r="M74" s="6"/>
      <c r="N74" s="6" t="n">
        <v>5800</v>
      </c>
      <c r="O74" s="6" t="n">
        <v>1.1</v>
      </c>
      <c r="P74" s="6" t="n">
        <v>4.5</v>
      </c>
      <c r="Q74" s="7" t="n">
        <f aca="false">IF(AND(ISNUMBER(N74),ISNUMBER(J74),ISNUMBER(O74)),IF(AND(N74&gt;0,J74&gt;0,O74&gt;0),N74/J74*O74,"N/A"),"N/A")</f>
        <v>580</v>
      </c>
      <c r="R74" s="8" t="n">
        <f aca="false">IF(ISNUMBER(Q74),ROUND(1+9*PERCENTRANK($Q$2:$Q$140,Q74),1),"N/A")</f>
        <v>2.3</v>
      </c>
      <c r="S74" s="6" t="n">
        <v>500</v>
      </c>
      <c r="T74" s="6" t="n">
        <v>6000</v>
      </c>
      <c r="U74" s="6"/>
      <c r="V74" s="6" t="n">
        <v>1000</v>
      </c>
      <c r="W74" s="6" t="n">
        <v>40</v>
      </c>
      <c r="X74" s="6"/>
      <c r="Y74" s="6"/>
      <c r="Z74" s="6"/>
      <c r="AA74" s="6"/>
      <c r="AB74" s="6"/>
      <c r="AC74" s="6"/>
      <c r="AD74" s="6"/>
      <c r="AE74" s="6" t="n">
        <v>0.04</v>
      </c>
      <c r="AF74" s="7" t="n">
        <f aca="false">IF(AND(ISNUMBER(G74),ISNUMBER(AE74)),IF(AE74&gt;0,G74/AE74,"N/A"),"N/A")</f>
        <v>62.5</v>
      </c>
      <c r="AG74" s="6" t="s">
        <v>298</v>
      </c>
      <c r="AH74" s="6" t="s">
        <v>63</v>
      </c>
      <c r="AI74" s="3" t="s">
        <v>299</v>
      </c>
      <c r="AJ74" s="6"/>
    </row>
    <row r="75" customFormat="false" ht="38.25" hidden="false" customHeight="true" outlineLevel="0" collapsed="false">
      <c r="A75" s="6" t="s">
        <v>56</v>
      </c>
      <c r="B75" s="6" t="s">
        <v>300</v>
      </c>
      <c r="C75" s="6" t="s">
        <v>295</v>
      </c>
      <c r="D75" s="6" t="s">
        <v>296</v>
      </c>
      <c r="E75" s="6"/>
      <c r="F75" s="3" t="s">
        <v>297</v>
      </c>
      <c r="G75" s="6" t="n">
        <v>10</v>
      </c>
      <c r="H75" s="6" t="n">
        <v>1700</v>
      </c>
      <c r="I75" s="6" t="n">
        <v>7</v>
      </c>
      <c r="J75" s="6" t="n">
        <v>58</v>
      </c>
      <c r="K75" s="6" t="s">
        <v>196</v>
      </c>
      <c r="L75" s="6"/>
      <c r="M75" s="6" t="n">
        <v>745.88</v>
      </c>
      <c r="N75" s="6" t="n">
        <v>28000</v>
      </c>
      <c r="O75" s="6" t="n">
        <v>1.5</v>
      </c>
      <c r="P75" s="6" t="n">
        <v>4.5</v>
      </c>
      <c r="Q75" s="7" t="n">
        <f aca="false">IF(AND(ISNUMBER(N75),ISNUMBER(J75),ISNUMBER(O75)),IF(AND(N75&gt;0,J75&gt;0,O75&gt;0),N75/J75*O75,"N/A"),"N/A")</f>
        <v>724.137931034483</v>
      </c>
      <c r="R75" s="8" t="n">
        <f aca="false">IF(ISNUMBER(Q75),ROUND(1+9*PERCENTRANK($Q$2:$Q$140,Q75),1),"N/A")</f>
        <v>4</v>
      </c>
      <c r="S75" s="6" t="n">
        <v>500</v>
      </c>
      <c r="T75" s="6" t="n">
        <v>8000</v>
      </c>
      <c r="U75" s="6"/>
      <c r="V75" s="6" t="n">
        <v>1000</v>
      </c>
      <c r="W75" s="6" t="n">
        <v>40</v>
      </c>
      <c r="X75" s="6"/>
      <c r="Y75" s="6"/>
      <c r="Z75" s="6"/>
      <c r="AA75" s="6"/>
      <c r="AB75" s="6"/>
      <c r="AC75" s="6"/>
      <c r="AD75" s="6"/>
      <c r="AE75" s="6" t="n">
        <v>0.09</v>
      </c>
      <c r="AF75" s="7" t="n">
        <f aca="false">IF(AND(ISNUMBER(G75),ISNUMBER(AE75)),IF(AE75&gt;0,G75/AE75,"N/A"),"N/A")</f>
        <v>111.111111111111</v>
      </c>
      <c r="AG75" s="6" t="s">
        <v>298</v>
      </c>
      <c r="AH75" s="6" t="s">
        <v>63</v>
      </c>
      <c r="AI75" s="3" t="s">
        <v>301</v>
      </c>
      <c r="AJ75" s="6"/>
    </row>
    <row r="76" customFormat="false" ht="25.5" hidden="true" customHeight="true" outlineLevel="0" collapsed="false">
      <c r="A76" s="6" t="s">
        <v>56</v>
      </c>
      <c r="B76" s="6" t="s">
        <v>302</v>
      </c>
      <c r="C76" s="6" t="s">
        <v>303</v>
      </c>
      <c r="D76" s="6"/>
      <c r="E76" s="6"/>
      <c r="F76" s="6"/>
      <c r="G76" s="6"/>
      <c r="H76" s="6"/>
      <c r="I76" s="6" t="n">
        <v>1</v>
      </c>
      <c r="J76" s="6" t="n">
        <v>0</v>
      </c>
      <c r="K76" s="6"/>
      <c r="L76" s="6" t="n">
        <v>300000000</v>
      </c>
      <c r="M76" s="6"/>
      <c r="N76" s="6"/>
      <c r="O76" s="6"/>
      <c r="P76" s="6"/>
      <c r="Q76" s="7" t="str">
        <f aca="false">IF(AND(ISNUMBER(N76),ISNUMBER(J76),ISNUMBER(O76)),IF(AND(N76&gt;0,J76&gt;0,O76&gt;0),N76/J76*O76,"N/A"),"N/A")</f>
        <v>N/A</v>
      </c>
      <c r="R76" s="8" t="str">
        <f aca="false">IF(ISNUMBER(Q76),ROUND(1+9*PERCENTRANK($Q$2:$Q$140,Q76),1),"N/A")</f>
        <v>N/A</v>
      </c>
      <c r="S76" s="6"/>
      <c r="T76" s="6" t="n">
        <v>15000</v>
      </c>
      <c r="U76" s="6"/>
      <c r="V76" s="6" t="s">
        <v>70</v>
      </c>
      <c r="W76" s="6" t="s">
        <v>70</v>
      </c>
      <c r="X76" s="6"/>
      <c r="Y76" s="6"/>
      <c r="Z76" s="6"/>
      <c r="AA76" s="6"/>
      <c r="AB76" s="6"/>
      <c r="AC76" s="6"/>
      <c r="AD76" s="6"/>
      <c r="AE76" s="6" t="n">
        <v>0</v>
      </c>
      <c r="AF76" s="7" t="str">
        <f aca="false">IF(AND(ISNUMBER(G76),ISNUMBER(AE76)),IF(AE76&gt;0,G76/AE76,"N/A"),"N/A")</f>
        <v>N/A</v>
      </c>
      <c r="AG76" s="6" t="s">
        <v>304</v>
      </c>
      <c r="AH76" s="6" t="s">
        <v>186</v>
      </c>
      <c r="AI76" s="3" t="s">
        <v>305</v>
      </c>
      <c r="AJ76" s="6"/>
    </row>
    <row r="77" customFormat="false" ht="25.5" hidden="true" customHeight="true" outlineLevel="0" collapsed="false">
      <c r="A77" s="6" t="s">
        <v>56</v>
      </c>
      <c r="B77" s="6" t="s">
        <v>306</v>
      </c>
      <c r="C77" s="6" t="s">
        <v>303</v>
      </c>
      <c r="D77" s="6"/>
      <c r="E77" s="6"/>
      <c r="F77" s="6"/>
      <c r="G77" s="6"/>
      <c r="H77" s="6"/>
      <c r="I77" s="6" t="n">
        <v>1</v>
      </c>
      <c r="J77" s="6" t="n">
        <v>0</v>
      </c>
      <c r="K77" s="6"/>
      <c r="L77" s="6" t="n">
        <v>300000000</v>
      </c>
      <c r="M77" s="6"/>
      <c r="N77" s="6"/>
      <c r="O77" s="6"/>
      <c r="P77" s="6"/>
      <c r="Q77" s="7" t="str">
        <f aca="false">IF(AND(ISNUMBER(N77),ISNUMBER(J77),ISNUMBER(O77)),IF(AND(N77&gt;0,J77&gt;0,O77&gt;0),N77/J77*O77,"N/A"),"N/A")</f>
        <v>N/A</v>
      </c>
      <c r="R77" s="8" t="str">
        <f aca="false">IF(ISNUMBER(Q77),ROUND(1+9*PERCENTRANK($Q$2:$Q$140,Q77),1),"N/A")</f>
        <v>N/A</v>
      </c>
      <c r="S77" s="6"/>
      <c r="T77" s="6" t="n">
        <v>4000</v>
      </c>
      <c r="U77" s="6"/>
      <c r="V77" s="6" t="s">
        <v>70</v>
      </c>
      <c r="W77" s="6" t="n">
        <v>1000</v>
      </c>
      <c r="X77" s="6"/>
      <c r="Y77" s="6"/>
      <c r="Z77" s="6"/>
      <c r="AA77" s="6"/>
      <c r="AB77" s="6"/>
      <c r="AC77" s="6"/>
      <c r="AD77" s="6"/>
      <c r="AE77" s="6" t="n">
        <v>0</v>
      </c>
      <c r="AF77" s="7" t="str">
        <f aca="false">IF(AND(ISNUMBER(G77),ISNUMBER(AE77)),IF(AE77&gt;0,G77/AE77,"N/A"),"N/A")</f>
        <v>N/A</v>
      </c>
      <c r="AG77" s="6" t="s">
        <v>304</v>
      </c>
      <c r="AH77" s="6" t="s">
        <v>176</v>
      </c>
      <c r="AI77" s="3" t="s">
        <v>307</v>
      </c>
      <c r="AJ77" s="6"/>
    </row>
    <row r="78" customFormat="false" ht="25.5" hidden="true" customHeight="true" outlineLevel="0" collapsed="false">
      <c r="A78" s="6" t="s">
        <v>56</v>
      </c>
      <c r="B78" s="6" t="s">
        <v>308</v>
      </c>
      <c r="C78" s="6" t="s">
        <v>303</v>
      </c>
      <c r="D78" s="6"/>
      <c r="E78" s="6"/>
      <c r="F78" s="6"/>
      <c r="G78" s="6"/>
      <c r="H78" s="6"/>
      <c r="I78" s="6" t="n">
        <v>1</v>
      </c>
      <c r="J78" s="6" t="n">
        <v>0</v>
      </c>
      <c r="K78" s="6"/>
      <c r="L78" s="6" t="n">
        <v>300000000</v>
      </c>
      <c r="M78" s="6"/>
      <c r="N78" s="6"/>
      <c r="O78" s="6"/>
      <c r="P78" s="6"/>
      <c r="Q78" s="7" t="str">
        <f aca="false">IF(AND(ISNUMBER(N78),ISNUMBER(J78),ISNUMBER(O78)),IF(AND(N78&gt;0,J78&gt;0,O78&gt;0),N78/J78*O78,"N/A"),"N/A")</f>
        <v>N/A</v>
      </c>
      <c r="R78" s="8" t="str">
        <f aca="false">IF(ISNUMBER(Q78),ROUND(1+9*PERCENTRANK($Q$2:$Q$140,Q78),1),"N/A")</f>
        <v>N/A</v>
      </c>
      <c r="S78" s="6"/>
      <c r="T78" s="6" t="n">
        <v>8000</v>
      </c>
      <c r="U78" s="6"/>
      <c r="V78" s="6" t="s">
        <v>70</v>
      </c>
      <c r="W78" s="6" t="s">
        <v>70</v>
      </c>
      <c r="X78" s="6"/>
      <c r="Y78" s="6"/>
      <c r="Z78" s="6"/>
      <c r="AA78" s="6"/>
      <c r="AB78" s="6"/>
      <c r="AC78" s="6"/>
      <c r="AD78" s="6"/>
      <c r="AE78" s="6" t="n">
        <v>0</v>
      </c>
      <c r="AF78" s="7" t="str">
        <f aca="false">IF(AND(ISNUMBER(G78),ISNUMBER(AE78)),IF(AE78&gt;0,G78/AE78,"N/A"),"N/A")</f>
        <v>N/A</v>
      </c>
      <c r="AG78" s="6" t="s">
        <v>304</v>
      </c>
      <c r="AH78" s="6" t="s">
        <v>176</v>
      </c>
      <c r="AI78" s="3" t="s">
        <v>309</v>
      </c>
      <c r="AJ78" s="6"/>
    </row>
    <row r="79" customFormat="false" ht="25.5" hidden="true" customHeight="true" outlineLevel="0" collapsed="false">
      <c r="A79" s="6" t="s">
        <v>56</v>
      </c>
      <c r="B79" s="6" t="s">
        <v>310</v>
      </c>
      <c r="C79" s="6" t="s">
        <v>303</v>
      </c>
      <c r="D79" s="6"/>
      <c r="E79" s="6"/>
      <c r="F79" s="6"/>
      <c r="G79" s="6"/>
      <c r="H79" s="6"/>
      <c r="I79" s="6" t="n">
        <v>0</v>
      </c>
      <c r="J79" s="6" t="n">
        <v>0</v>
      </c>
      <c r="K79" s="6"/>
      <c r="L79" s="6"/>
      <c r="M79" s="6"/>
      <c r="N79" s="6"/>
      <c r="O79" s="6"/>
      <c r="P79" s="6"/>
      <c r="Q79" s="7" t="str">
        <f aca="false">IF(AND(ISNUMBER(N79),ISNUMBER(J79),ISNUMBER(O79)),IF(AND(N79&gt;0,J79&gt;0,O79&gt;0),N79/J79*O79,"N/A"),"N/A")</f>
        <v>N/A</v>
      </c>
      <c r="R79" s="8" t="str">
        <f aca="false">IF(ISNUMBER(Q79),ROUND(1+9*PERCENTRANK($Q$2:$Q$140,Q79),1),"N/A")</f>
        <v>N/A</v>
      </c>
      <c r="S79" s="6"/>
      <c r="T79" s="6"/>
      <c r="U79" s="6"/>
      <c r="V79" s="6" t="n">
        <v>0</v>
      </c>
      <c r="W79" s="6" t="n">
        <v>0</v>
      </c>
      <c r="X79" s="6"/>
      <c r="Y79" s="6"/>
      <c r="Z79" s="6"/>
      <c r="AA79" s="6"/>
      <c r="AB79" s="6"/>
      <c r="AC79" s="6"/>
      <c r="AD79" s="6"/>
      <c r="AE79" s="6" t="n">
        <v>0</v>
      </c>
      <c r="AF79" s="7" t="str">
        <f aca="false">IF(AND(ISNUMBER(G79),ISNUMBER(AE79)),IF(AE79&gt;0,G79/AE79,"N/A"),"N/A")</f>
        <v>N/A</v>
      </c>
      <c r="AG79" s="6" t="s">
        <v>304</v>
      </c>
      <c r="AH79" s="6"/>
      <c r="AI79" s="3" t="s">
        <v>311</v>
      </c>
      <c r="AJ79" s="6"/>
    </row>
    <row r="80" customFormat="false" ht="15" hidden="true" customHeight="true" outlineLevel="0" collapsed="false">
      <c r="A80" s="6" t="s">
        <v>56</v>
      </c>
      <c r="B80" s="6" t="s">
        <v>312</v>
      </c>
      <c r="C80" s="6" t="s">
        <v>303</v>
      </c>
      <c r="D80" s="6"/>
      <c r="E80" s="6"/>
      <c r="F80" s="6"/>
      <c r="G80" s="6"/>
      <c r="H80" s="6" t="n">
        <v>1</v>
      </c>
      <c r="I80" s="6" t="n">
        <v>1</v>
      </c>
      <c r="J80" s="6" t="n">
        <v>0</v>
      </c>
      <c r="K80" s="6"/>
      <c r="L80" s="6"/>
      <c r="M80" s="6"/>
      <c r="N80" s="6"/>
      <c r="O80" s="6"/>
      <c r="P80" s="6"/>
      <c r="Q80" s="7" t="str">
        <f aca="false">IF(AND(ISNUMBER(N80),ISNUMBER(J80),ISNUMBER(O80)),IF(AND(N80&gt;0,J80&gt;0,O80&gt;0),N80/J80*O80,"N/A"),"N/A")</f>
        <v>N/A</v>
      </c>
      <c r="R80" s="8" t="str">
        <f aca="false">IF(ISNUMBER(Q80),ROUND(1+9*PERCENTRANK($Q$2:$Q$140,Q80),1),"N/A")</f>
        <v>N/A</v>
      </c>
      <c r="S80" s="6"/>
      <c r="T80" s="6" t="n">
        <v>2000</v>
      </c>
      <c r="U80" s="6"/>
      <c r="V80" s="6" t="s">
        <v>70</v>
      </c>
      <c r="W80" s="6" t="s">
        <v>70</v>
      </c>
      <c r="X80" s="6"/>
      <c r="Y80" s="6"/>
      <c r="Z80" s="6"/>
      <c r="AA80" s="6"/>
      <c r="AB80" s="6"/>
      <c r="AC80" s="6"/>
      <c r="AD80" s="6"/>
      <c r="AE80" s="6" t="n">
        <v>1E-006</v>
      </c>
      <c r="AF80" s="7" t="str">
        <f aca="false">IF(AND(ISNUMBER(G80),ISNUMBER(AE80)),IF(AE80&gt;0,G80/AE80,"N/A"),"N/A")</f>
        <v>N/A</v>
      </c>
      <c r="AG80" s="6" t="s">
        <v>304</v>
      </c>
      <c r="AH80" s="6"/>
      <c r="AI80" s="6" t="s">
        <v>313</v>
      </c>
      <c r="AJ80" s="6"/>
    </row>
    <row r="81" customFormat="false" ht="15" hidden="true" customHeight="true" outlineLevel="0" collapsed="false">
      <c r="A81" s="6" t="s">
        <v>56</v>
      </c>
      <c r="B81" s="6" t="s">
        <v>314</v>
      </c>
      <c r="C81" s="6" t="s">
        <v>303</v>
      </c>
      <c r="D81" s="6"/>
      <c r="E81" s="6"/>
      <c r="F81" s="6"/>
      <c r="G81" s="6"/>
      <c r="H81" s="6" t="n">
        <v>1</v>
      </c>
      <c r="I81" s="6" t="n">
        <v>1</v>
      </c>
      <c r="J81" s="6" t="n">
        <v>0</v>
      </c>
      <c r="K81" s="6"/>
      <c r="L81" s="6"/>
      <c r="M81" s="6"/>
      <c r="N81" s="6"/>
      <c r="O81" s="6"/>
      <c r="P81" s="6"/>
      <c r="Q81" s="7" t="str">
        <f aca="false">IF(AND(ISNUMBER(N81),ISNUMBER(J81),ISNUMBER(O81)),IF(AND(N81&gt;0,J81&gt;0,O81&gt;0),N81/J81*O81,"N/A"),"N/A")</f>
        <v>N/A</v>
      </c>
      <c r="R81" s="8" t="str">
        <f aca="false">IF(ISNUMBER(Q81),ROUND(1+9*PERCENTRANK($Q$2:$Q$140,Q81),1),"N/A")</f>
        <v>N/A</v>
      </c>
      <c r="S81" s="6"/>
      <c r="T81" s="6" t="n">
        <v>2000</v>
      </c>
      <c r="U81" s="6"/>
      <c r="V81" s="6" t="s">
        <v>70</v>
      </c>
      <c r="W81" s="6" t="s">
        <v>70</v>
      </c>
      <c r="X81" s="6"/>
      <c r="Y81" s="6"/>
      <c r="Z81" s="6"/>
      <c r="AA81" s="6"/>
      <c r="AB81" s="6"/>
      <c r="AC81" s="6"/>
      <c r="AD81" s="6"/>
      <c r="AE81" s="6" t="n">
        <v>0</v>
      </c>
      <c r="AF81" s="7" t="str">
        <f aca="false">IF(AND(ISNUMBER(G81),ISNUMBER(AE81)),IF(AE81&gt;0,G81/AE81,"N/A"),"N/A")</f>
        <v>N/A</v>
      </c>
      <c r="AG81" s="6" t="s">
        <v>304</v>
      </c>
      <c r="AH81" s="6"/>
      <c r="AI81" s="6" t="s">
        <v>315</v>
      </c>
      <c r="AJ81" s="6"/>
    </row>
    <row r="82" customFormat="false" ht="25.5" hidden="true" customHeight="true" outlineLevel="0" collapsed="false">
      <c r="A82" s="6" t="s">
        <v>316</v>
      </c>
      <c r="B82" s="6" t="s">
        <v>317</v>
      </c>
      <c r="C82" s="3" t="s">
        <v>125</v>
      </c>
      <c r="D82" s="6"/>
      <c r="E82" s="6"/>
      <c r="F82" s="6"/>
      <c r="G82" s="6" t="n">
        <v>0.01</v>
      </c>
      <c r="H82" s="6" t="n">
        <v>400</v>
      </c>
      <c r="I82" s="6" t="n">
        <v>4</v>
      </c>
      <c r="J82" s="6" t="n">
        <v>0.27</v>
      </c>
      <c r="K82" s="6"/>
      <c r="L82" s="6" t="n">
        <v>1100</v>
      </c>
      <c r="M82" s="6"/>
      <c r="N82" s="6"/>
      <c r="O82" s="6"/>
      <c r="P82" s="6"/>
      <c r="Q82" s="7" t="str">
        <f aca="false">IF(AND(ISNUMBER(N82),ISNUMBER(J82),ISNUMBER(O82)),IF(AND(N82&gt;0,J82&gt;0,O82&gt;0),N82/J82*O82,"N/A"),"N/A")</f>
        <v>N/A</v>
      </c>
      <c r="R82" s="8" t="str">
        <f aca="false">IF(ISNUMBER(Q82),ROUND(1+9*PERCENTRANK($Q$2:$Q$140,Q82),1),"N/A")</f>
        <v>N/A</v>
      </c>
      <c r="S82" s="6"/>
      <c r="T82" s="6" t="n">
        <v>1800</v>
      </c>
      <c r="U82" s="6"/>
      <c r="V82" s="6" t="s">
        <v>70</v>
      </c>
      <c r="W82" s="6" t="s">
        <v>70</v>
      </c>
      <c r="X82" s="6" t="n">
        <v>6000</v>
      </c>
      <c r="Y82" s="6" t="n">
        <v>512</v>
      </c>
      <c r="Z82" s="6" t="n">
        <v>0</v>
      </c>
      <c r="AA82" s="6" t="n">
        <v>5</v>
      </c>
      <c r="AB82" s="6"/>
      <c r="AC82" s="6"/>
      <c r="AD82" s="6"/>
      <c r="AE82" s="6" t="n">
        <v>3E-005</v>
      </c>
      <c r="AF82" s="7" t="n">
        <f aca="false">IF(AND(ISNUMBER(G82),ISNUMBER(AE82)),IF(AE82&gt;0,G82/AE82,"N/A"),"N/A")</f>
        <v>333.333333333333</v>
      </c>
      <c r="AG82" s="6" t="s">
        <v>126</v>
      </c>
      <c r="AH82" s="6" t="s">
        <v>63</v>
      </c>
      <c r="AI82" s="3" t="s">
        <v>139</v>
      </c>
      <c r="AJ82" s="6"/>
    </row>
    <row r="83" customFormat="false" ht="25.5" hidden="true" customHeight="true" outlineLevel="0" collapsed="false">
      <c r="A83" s="6" t="s">
        <v>318</v>
      </c>
      <c r="B83" s="6" t="s">
        <v>78</v>
      </c>
      <c r="C83" s="6" t="s">
        <v>73</v>
      </c>
      <c r="D83" s="6" t="s">
        <v>74</v>
      </c>
      <c r="E83" s="6"/>
      <c r="F83" s="3" t="s">
        <v>75</v>
      </c>
      <c r="G83" s="6" t="n">
        <v>0</v>
      </c>
      <c r="H83" s="6" t="n">
        <v>0</v>
      </c>
      <c r="I83" s="6" t="n">
        <v>4</v>
      </c>
      <c r="J83" s="6" t="n">
        <v>400</v>
      </c>
      <c r="K83" s="6" t="s">
        <v>79</v>
      </c>
      <c r="L83" s="6"/>
      <c r="M83" s="6"/>
      <c r="N83" s="6"/>
      <c r="O83" s="6"/>
      <c r="P83" s="6"/>
      <c r="Q83" s="7" t="str">
        <f aca="false">IF(AND(ISNUMBER(N83),ISNUMBER(J83),ISNUMBER(O83)),IF(AND(N83&gt;0,J83&gt;0,O83&gt;0),N83/J83*O83,"N/A"),"N/A")</f>
        <v>N/A</v>
      </c>
      <c r="R83" s="8" t="str">
        <f aca="false">IF(ISNUMBER(Q83),ROUND(1+9*PERCENTRANK($Q$2:$Q$140,Q83),1),"N/A")</f>
        <v>N/A</v>
      </c>
      <c r="S83" s="6"/>
      <c r="T83" s="6" t="n">
        <v>5000</v>
      </c>
      <c r="U83" s="6"/>
      <c r="V83" s="6" t="n">
        <v>100</v>
      </c>
      <c r="W83" s="6" t="n">
        <v>30</v>
      </c>
      <c r="X83" s="6"/>
      <c r="Y83" s="6"/>
      <c r="Z83" s="6"/>
      <c r="AA83" s="6"/>
      <c r="AB83" s="6"/>
      <c r="AC83" s="6"/>
      <c r="AD83" s="6"/>
      <c r="AE83" s="6" t="n">
        <v>0.36</v>
      </c>
      <c r="AF83" s="7" t="n">
        <f aca="false">IF(AND(ISNUMBER(G83),ISNUMBER(AE83)),IF(AE83&gt;0,G83/AE83,"N/A"),"N/A")</f>
        <v>0</v>
      </c>
      <c r="AG83" s="6" t="s">
        <v>76</v>
      </c>
      <c r="AH83" s="6" t="s">
        <v>63</v>
      </c>
      <c r="AI83" s="3" t="s">
        <v>80</v>
      </c>
      <c r="AJ83" s="3" t="s">
        <v>319</v>
      </c>
    </row>
    <row r="84" customFormat="false" ht="25.5" hidden="true" customHeight="true" outlineLevel="0" collapsed="false">
      <c r="A84" s="6" t="s">
        <v>318</v>
      </c>
      <c r="B84" s="6" t="s">
        <v>135</v>
      </c>
      <c r="C84" s="3" t="s">
        <v>125</v>
      </c>
      <c r="D84" s="6"/>
      <c r="E84" s="6"/>
      <c r="F84" s="6"/>
      <c r="G84" s="6" t="n">
        <v>0.01</v>
      </c>
      <c r="H84" s="6" t="n">
        <v>400</v>
      </c>
      <c r="I84" s="6" t="n">
        <v>4</v>
      </c>
      <c r="J84" s="6" t="n">
        <v>0.15</v>
      </c>
      <c r="K84" s="6"/>
      <c r="L84" s="6" t="n">
        <v>1000</v>
      </c>
      <c r="M84" s="6"/>
      <c r="N84" s="6"/>
      <c r="O84" s="6"/>
      <c r="P84" s="6"/>
      <c r="Q84" s="7" t="str">
        <f aca="false">IF(AND(ISNUMBER(N84),ISNUMBER(J84),ISNUMBER(O84)),IF(AND(N84&gt;0,J84&gt;0,O84&gt;0),N84/J84*O84,"N/A"),"N/A")</f>
        <v>N/A</v>
      </c>
      <c r="R84" s="8" t="str">
        <f aca="false">IF(ISNUMBER(Q84),ROUND(1+9*PERCENTRANK($Q$2:$Q$140,Q84),1),"N/A")</f>
        <v>N/A</v>
      </c>
      <c r="S84" s="6"/>
      <c r="T84" s="6" t="n">
        <v>1800</v>
      </c>
      <c r="U84" s="6"/>
      <c r="V84" s="6" t="s">
        <v>70</v>
      </c>
      <c r="W84" s="6" t="s">
        <v>70</v>
      </c>
      <c r="X84" s="6" t="n">
        <v>2500</v>
      </c>
      <c r="Y84" s="6" t="n">
        <v>500</v>
      </c>
      <c r="Z84" s="6" t="n">
        <v>0</v>
      </c>
      <c r="AA84" s="6" t="n">
        <v>5</v>
      </c>
      <c r="AB84" s="6"/>
      <c r="AC84" s="6"/>
      <c r="AD84" s="6"/>
      <c r="AE84" s="6" t="n">
        <v>3E-005</v>
      </c>
      <c r="AF84" s="7" t="n">
        <f aca="false">IF(AND(ISNUMBER(G84),ISNUMBER(AE84)),IF(AE84&gt;0,G84/AE84,"N/A"),"N/A")</f>
        <v>333.333333333333</v>
      </c>
      <c r="AG84" s="6" t="s">
        <v>126</v>
      </c>
      <c r="AH84" s="6" t="s">
        <v>63</v>
      </c>
      <c r="AI84" s="3" t="s">
        <v>320</v>
      </c>
      <c r="AJ84" s="3" t="s">
        <v>319</v>
      </c>
    </row>
    <row r="85" customFormat="false" ht="38.25" hidden="true" customHeight="true" outlineLevel="0" collapsed="false">
      <c r="A85" s="6" t="s">
        <v>321</v>
      </c>
      <c r="B85" s="6" t="s">
        <v>322</v>
      </c>
      <c r="C85" s="3" t="s">
        <v>125</v>
      </c>
      <c r="D85" s="6"/>
      <c r="E85" s="6"/>
      <c r="F85" s="6"/>
      <c r="G85" s="6" t="n">
        <v>0.01</v>
      </c>
      <c r="H85" s="6" t="n">
        <v>400</v>
      </c>
      <c r="I85" s="6" t="n">
        <v>4</v>
      </c>
      <c r="J85" s="6" t="n">
        <v>0.27</v>
      </c>
      <c r="K85" s="6"/>
      <c r="L85" s="6" t="n">
        <v>1250</v>
      </c>
      <c r="M85" s="6"/>
      <c r="N85" s="6"/>
      <c r="O85" s="6"/>
      <c r="P85" s="6"/>
      <c r="Q85" s="7" t="str">
        <f aca="false">IF(AND(ISNUMBER(N85),ISNUMBER(J85),ISNUMBER(O85)),IF(AND(N85&gt;0,J85&gt;0,O85&gt;0),N85/J85*O85,"N/A"),"N/A")</f>
        <v>N/A</v>
      </c>
      <c r="R85" s="8" t="str">
        <f aca="false">IF(ISNUMBER(Q85),ROUND(1+9*PERCENTRANK($Q$2:$Q$140,Q85),1),"N/A")</f>
        <v>N/A</v>
      </c>
      <c r="S85" s="6"/>
      <c r="T85" s="6" t="n">
        <v>2000</v>
      </c>
      <c r="U85" s="6"/>
      <c r="V85" s="6" t="s">
        <v>70</v>
      </c>
      <c r="W85" s="6" t="s">
        <v>70</v>
      </c>
      <c r="X85" s="6" t="n">
        <v>5000</v>
      </c>
      <c r="Y85" s="6" t="n">
        <v>1000</v>
      </c>
      <c r="Z85" s="6" t="n">
        <v>0</v>
      </c>
      <c r="AA85" s="6" t="n">
        <v>5</v>
      </c>
      <c r="AB85" s="6"/>
      <c r="AC85" s="6"/>
      <c r="AD85" s="6"/>
      <c r="AE85" s="6" t="n">
        <v>3E-005</v>
      </c>
      <c r="AF85" s="7" t="n">
        <f aca="false">IF(AND(ISNUMBER(G85),ISNUMBER(AE85)),IF(AE85&gt;0,G85/AE85,"N/A"),"N/A")</f>
        <v>333.333333333333</v>
      </c>
      <c r="AG85" s="6" t="s">
        <v>126</v>
      </c>
      <c r="AH85" s="6" t="s">
        <v>63</v>
      </c>
      <c r="AI85" s="3" t="s">
        <v>323</v>
      </c>
      <c r="AJ85" s="3" t="s">
        <v>324</v>
      </c>
    </row>
    <row r="86" customFormat="false" ht="51" hidden="true" customHeight="true" outlineLevel="0" collapsed="false">
      <c r="A86" s="6" t="s">
        <v>321</v>
      </c>
      <c r="B86" s="6" t="s">
        <v>325</v>
      </c>
      <c r="C86" s="3" t="s">
        <v>125</v>
      </c>
      <c r="D86" s="6"/>
      <c r="E86" s="6"/>
      <c r="F86" s="6"/>
      <c r="G86" s="6" t="n">
        <v>0.01</v>
      </c>
      <c r="H86" s="6" t="n">
        <v>400</v>
      </c>
      <c r="I86" s="6" t="n">
        <v>4</v>
      </c>
      <c r="J86" s="6" t="n">
        <v>0.27</v>
      </c>
      <c r="K86" s="6"/>
      <c r="L86" s="6" t="n">
        <v>1250</v>
      </c>
      <c r="M86" s="6"/>
      <c r="N86" s="6"/>
      <c r="O86" s="6"/>
      <c r="P86" s="6"/>
      <c r="Q86" s="7" t="str">
        <f aca="false">IF(AND(ISNUMBER(N86),ISNUMBER(J86),ISNUMBER(O86)),IF(AND(N86&gt;0,J86&gt;0,O86&gt;0),N86/J86*O86,"N/A"),"N/A")</f>
        <v>N/A</v>
      </c>
      <c r="R86" s="8" t="str">
        <f aca="false">IF(ISNUMBER(Q86),ROUND(1+9*PERCENTRANK($Q$2:$Q$140,Q86),1),"N/A")</f>
        <v>N/A</v>
      </c>
      <c r="S86" s="6"/>
      <c r="T86" s="6" t="n">
        <v>2000</v>
      </c>
      <c r="U86" s="6"/>
      <c r="V86" s="6" t="s">
        <v>70</v>
      </c>
      <c r="W86" s="6" t="s">
        <v>70</v>
      </c>
      <c r="X86" s="6" t="n">
        <v>1200</v>
      </c>
      <c r="Y86" s="6" t="n">
        <v>1000</v>
      </c>
      <c r="Z86" s="6" t="n">
        <v>0</v>
      </c>
      <c r="AA86" s="6" t="n">
        <v>5</v>
      </c>
      <c r="AB86" s="6"/>
      <c r="AC86" s="6"/>
      <c r="AD86" s="6"/>
      <c r="AE86" s="6" t="n">
        <v>3E-005</v>
      </c>
      <c r="AF86" s="7" t="n">
        <f aca="false">IF(AND(ISNUMBER(G86),ISNUMBER(AE86)),IF(AE86&gt;0,G86/AE86,"N/A"),"N/A")</f>
        <v>333.333333333333</v>
      </c>
      <c r="AG86" s="6" t="s">
        <v>126</v>
      </c>
      <c r="AH86" s="6" t="s">
        <v>63</v>
      </c>
      <c r="AI86" s="3" t="s">
        <v>326</v>
      </c>
      <c r="AJ86" s="3" t="s">
        <v>324</v>
      </c>
    </row>
    <row r="87" customFormat="false" ht="38.25" hidden="true" customHeight="true" outlineLevel="0" collapsed="false">
      <c r="A87" s="6" t="s">
        <v>321</v>
      </c>
      <c r="B87" s="6" t="s">
        <v>327</v>
      </c>
      <c r="C87" s="3" t="s">
        <v>125</v>
      </c>
      <c r="D87" s="6"/>
      <c r="E87" s="6"/>
      <c r="F87" s="6"/>
      <c r="G87" s="6" t="n">
        <v>0.12</v>
      </c>
      <c r="H87" s="6" t="n">
        <v>700</v>
      </c>
      <c r="I87" s="6" t="n">
        <v>5</v>
      </c>
      <c r="J87" s="6" t="n">
        <v>1.4</v>
      </c>
      <c r="K87" s="6"/>
      <c r="L87" s="6" t="n">
        <v>1175</v>
      </c>
      <c r="M87" s="6"/>
      <c r="N87" s="6"/>
      <c r="O87" s="6"/>
      <c r="P87" s="6"/>
      <c r="Q87" s="7" t="str">
        <f aca="false">IF(AND(ISNUMBER(N87),ISNUMBER(J87),ISNUMBER(O87)),IF(AND(N87&gt;0,J87&gt;0,O87&gt;0),N87/J87*O87,"N/A"),"N/A")</f>
        <v>N/A</v>
      </c>
      <c r="R87" s="8" t="str">
        <f aca="false">IF(ISNUMBER(Q87),ROUND(1+9*PERCENTRANK($Q$2:$Q$140,Q87),1),"N/A")</f>
        <v>N/A</v>
      </c>
      <c r="S87" s="6"/>
      <c r="T87" s="6" t="n">
        <v>3000</v>
      </c>
      <c r="U87" s="6"/>
      <c r="V87" s="6" t="s">
        <v>70</v>
      </c>
      <c r="W87" s="6" t="s">
        <v>70</v>
      </c>
      <c r="X87" s="6" t="n">
        <v>180</v>
      </c>
      <c r="Y87" s="6" t="n">
        <v>720</v>
      </c>
      <c r="Z87" s="6" t="n">
        <v>1</v>
      </c>
      <c r="AA87" s="6" t="n">
        <v>0.1</v>
      </c>
      <c r="AB87" s="6"/>
      <c r="AC87" s="6"/>
      <c r="AD87" s="6"/>
      <c r="AE87" s="6" t="n">
        <v>0.00012</v>
      </c>
      <c r="AF87" s="7" t="n">
        <f aca="false">IF(AND(ISNUMBER(G87),ISNUMBER(AE87)),IF(AE87&gt;0,G87/AE87,"N/A"),"N/A")</f>
        <v>1000</v>
      </c>
      <c r="AG87" s="6" t="s">
        <v>126</v>
      </c>
      <c r="AH87" s="6" t="s">
        <v>63</v>
      </c>
      <c r="AI87" s="3" t="s">
        <v>328</v>
      </c>
      <c r="AJ87" s="3" t="s">
        <v>324</v>
      </c>
    </row>
    <row r="88" customFormat="false" ht="89.25" hidden="false" customHeight="true" outlineLevel="0" collapsed="false">
      <c r="A88" s="6" t="s">
        <v>321</v>
      </c>
      <c r="B88" s="6" t="s">
        <v>329</v>
      </c>
      <c r="C88" s="6" t="s">
        <v>180</v>
      </c>
      <c r="D88" s="6" t="s">
        <v>181</v>
      </c>
      <c r="E88" s="3" t="s">
        <v>330</v>
      </c>
      <c r="F88" s="3" t="s">
        <v>331</v>
      </c>
      <c r="G88" s="6" t="n">
        <v>80</v>
      </c>
      <c r="H88" s="6" t="n">
        <v>600</v>
      </c>
      <c r="I88" s="6" t="n">
        <v>4</v>
      </c>
      <c r="J88" s="6" t="n">
        <v>500</v>
      </c>
      <c r="K88" s="6" t="s">
        <v>332</v>
      </c>
      <c r="L88" s="6"/>
      <c r="M88" s="6"/>
      <c r="N88" s="6" t="n">
        <v>107500</v>
      </c>
      <c r="O88" s="6" t="n">
        <v>60</v>
      </c>
      <c r="P88" s="6" t="n">
        <v>90</v>
      </c>
      <c r="Q88" s="7" t="n">
        <f aca="false">IF(AND(ISNUMBER(N88),ISNUMBER(J88),ISNUMBER(O88)),IF(AND(N88&gt;0,J88&gt;0,O88&gt;0),N88/J88*O88,"N/A"),"N/A")</f>
        <v>12900</v>
      </c>
      <c r="R88" s="8" t="n">
        <f aca="false">IF(ISNUMBER(Q88),ROUND(1+9*PERCENTRANK($Q$2:$Q$140,Q88),1),"N/A")</f>
        <v>9.1</v>
      </c>
      <c r="S88" s="6" t="n">
        <v>2000</v>
      </c>
      <c r="T88" s="6" t="n">
        <v>100000</v>
      </c>
      <c r="U88" s="6" t="n">
        <v>2</v>
      </c>
      <c r="V88" s="6" t="s">
        <v>70</v>
      </c>
      <c r="W88" s="6" t="s">
        <v>70</v>
      </c>
      <c r="X88" s="6"/>
      <c r="Y88" s="6"/>
      <c r="Z88" s="6"/>
      <c r="AA88" s="6"/>
      <c r="AB88" s="6"/>
      <c r="AC88" s="6"/>
      <c r="AD88" s="6" t="n">
        <v>20</v>
      </c>
      <c r="AE88" s="6" t="n">
        <v>5</v>
      </c>
      <c r="AF88" s="7" t="n">
        <f aca="false">IF(AND(ISNUMBER(G88),ISNUMBER(AE88)),IF(AE88&gt;0,G88/AE88,"N/A"),"N/A")</f>
        <v>16</v>
      </c>
      <c r="AG88" s="6" t="s">
        <v>185</v>
      </c>
      <c r="AH88" s="6" t="s">
        <v>186</v>
      </c>
      <c r="AI88" s="3" t="s">
        <v>333</v>
      </c>
      <c r="AJ88" s="6"/>
    </row>
    <row r="89" customFormat="false" ht="38.25" hidden="false" customHeight="true" outlineLevel="0" collapsed="false">
      <c r="A89" s="6" t="s">
        <v>321</v>
      </c>
      <c r="B89" s="6" t="s">
        <v>334</v>
      </c>
      <c r="C89" s="6" t="s">
        <v>180</v>
      </c>
      <c r="D89" s="6" t="s">
        <v>263</v>
      </c>
      <c r="E89" s="6"/>
      <c r="F89" s="3" t="s">
        <v>264</v>
      </c>
      <c r="G89" s="6" t="n">
        <v>50</v>
      </c>
      <c r="H89" s="6" t="n">
        <v>400</v>
      </c>
      <c r="I89" s="6" t="n">
        <v>4</v>
      </c>
      <c r="J89" s="6" t="n">
        <v>250</v>
      </c>
      <c r="K89" s="6" t="s">
        <v>335</v>
      </c>
      <c r="L89" s="6"/>
      <c r="M89" s="6"/>
      <c r="N89" s="6" t="n">
        <v>27500.1</v>
      </c>
      <c r="O89" s="6" t="n">
        <v>10</v>
      </c>
      <c r="P89" s="6" t="n">
        <v>68.01</v>
      </c>
      <c r="Q89" s="7" t="n">
        <f aca="false">IF(AND(ISNUMBER(N89),ISNUMBER(J89),ISNUMBER(O89)),IF(AND(N89&gt;0,J89&gt;0,O89&gt;0),N89/J89*O89,"N/A"),"N/A")</f>
        <v>1100.004</v>
      </c>
      <c r="R89" s="8" t="n">
        <f aca="false">IF(ISNUMBER(Q89),ROUND(1+9*PERCENTRANK($Q$2:$Q$140,Q89),1),"N/A")</f>
        <v>5.3</v>
      </c>
      <c r="S89" s="6" t="n">
        <v>700</v>
      </c>
      <c r="T89" s="6" t="n">
        <v>25000</v>
      </c>
      <c r="U89" s="6" t="n">
        <v>2</v>
      </c>
      <c r="V89" s="6" t="n">
        <v>20000</v>
      </c>
      <c r="W89" s="6" t="s">
        <v>70</v>
      </c>
      <c r="X89" s="6"/>
      <c r="Y89" s="6"/>
      <c r="Z89" s="6"/>
      <c r="AA89" s="6"/>
      <c r="AB89" s="6" t="n">
        <v>96</v>
      </c>
      <c r="AC89" s="6" t="n">
        <v>2</v>
      </c>
      <c r="AD89" s="6"/>
      <c r="AE89" s="6" t="n">
        <v>0.3</v>
      </c>
      <c r="AF89" s="7" t="n">
        <f aca="false">IF(AND(ISNUMBER(G89),ISNUMBER(AE89)),IF(AE89&gt;0,G89/AE89,"N/A"),"N/A")</f>
        <v>166.666666666667</v>
      </c>
      <c r="AG89" s="6" t="s">
        <v>185</v>
      </c>
      <c r="AH89" s="6" t="s">
        <v>186</v>
      </c>
      <c r="AI89" s="3" t="s">
        <v>336</v>
      </c>
      <c r="AJ89" s="3" t="s">
        <v>337</v>
      </c>
    </row>
    <row r="90" customFormat="false" ht="38.25" hidden="true" customHeight="true" outlineLevel="0" collapsed="false">
      <c r="A90" s="6" t="s">
        <v>321</v>
      </c>
      <c r="B90" s="6" t="s">
        <v>338</v>
      </c>
      <c r="C90" s="6" t="s">
        <v>303</v>
      </c>
      <c r="D90" s="6"/>
      <c r="E90" s="6"/>
      <c r="F90" s="6"/>
      <c r="G90" s="6"/>
      <c r="H90" s="6"/>
      <c r="I90" s="6" t="n">
        <v>1</v>
      </c>
      <c r="J90" s="6" t="n">
        <v>0</v>
      </c>
      <c r="K90" s="6"/>
      <c r="L90" s="6" t="n">
        <v>300000000</v>
      </c>
      <c r="M90" s="6"/>
      <c r="N90" s="6"/>
      <c r="O90" s="6"/>
      <c r="P90" s="6"/>
      <c r="Q90" s="7" t="str">
        <f aca="false">IF(AND(ISNUMBER(N90),ISNUMBER(J90),ISNUMBER(O90)),IF(AND(N90&gt;0,J90&gt;0,O90&gt;0),N90/J90*O90,"N/A"),"N/A")</f>
        <v>N/A</v>
      </c>
      <c r="R90" s="8" t="str">
        <f aca="false">IF(ISNUMBER(Q90),ROUND(1+9*PERCENTRANK($Q$2:$Q$140,Q90),1),"N/A")</f>
        <v>N/A</v>
      </c>
      <c r="S90" s="6"/>
      <c r="T90" s="6" t="n">
        <v>15000</v>
      </c>
      <c r="U90" s="6"/>
      <c r="V90" s="6" t="s">
        <v>70</v>
      </c>
      <c r="W90" s="6" t="s">
        <v>70</v>
      </c>
      <c r="X90" s="6"/>
      <c r="Y90" s="6"/>
      <c r="Z90" s="6"/>
      <c r="AA90" s="6"/>
      <c r="AB90" s="6"/>
      <c r="AC90" s="6"/>
      <c r="AD90" s="6"/>
      <c r="AE90" s="6" t="n">
        <v>0</v>
      </c>
      <c r="AF90" s="7" t="str">
        <f aca="false">IF(AND(ISNUMBER(G90),ISNUMBER(AE90)),IF(AE90&gt;0,G90/AE90,"N/A"),"N/A")</f>
        <v>N/A</v>
      </c>
      <c r="AG90" s="6" t="s">
        <v>304</v>
      </c>
      <c r="AH90" s="6" t="s">
        <v>176</v>
      </c>
      <c r="AI90" s="3" t="s">
        <v>339</v>
      </c>
      <c r="AJ90" s="3" t="s">
        <v>324</v>
      </c>
    </row>
    <row r="91" customFormat="false" ht="25.5" hidden="true" customHeight="true" outlineLevel="0" collapsed="false">
      <c r="A91" s="6" t="s">
        <v>340</v>
      </c>
      <c r="B91" s="6" t="s">
        <v>341</v>
      </c>
      <c r="C91" s="3" t="s">
        <v>125</v>
      </c>
      <c r="D91" s="6"/>
      <c r="E91" s="6"/>
      <c r="F91" s="6"/>
      <c r="G91" s="6" t="n">
        <v>4</v>
      </c>
      <c r="H91" s="6" t="n">
        <v>1850</v>
      </c>
      <c r="I91" s="6" t="n">
        <v>6</v>
      </c>
      <c r="J91" s="6" t="n">
        <v>22</v>
      </c>
      <c r="K91" s="6"/>
      <c r="L91" s="6" t="n">
        <v>1865</v>
      </c>
      <c r="M91" s="6"/>
      <c r="N91" s="6"/>
      <c r="O91" s="6"/>
      <c r="P91" s="6"/>
      <c r="Q91" s="7" t="str">
        <f aca="false">IF(AND(ISNUMBER(N91),ISNUMBER(J91),ISNUMBER(O91)),IF(AND(N91&gt;0,J91&gt;0,O91&gt;0),N91/J91*O91,"N/A"),"N/A")</f>
        <v>N/A</v>
      </c>
      <c r="R91" s="8" t="str">
        <f aca="false">IF(ISNUMBER(Q91),ROUND(1+9*PERCENTRANK($Q$2:$Q$140,Q91),1),"N/A")</f>
        <v>N/A</v>
      </c>
      <c r="S91" s="6"/>
      <c r="T91" s="6" t="n">
        <v>4500</v>
      </c>
      <c r="U91" s="6"/>
      <c r="V91" s="6" t="n">
        <v>200</v>
      </c>
      <c r="W91" s="6" t="n">
        <v>30</v>
      </c>
      <c r="X91" s="6" t="n">
        <v>20</v>
      </c>
      <c r="Y91" s="6" t="n">
        <v>1</v>
      </c>
      <c r="Z91" s="6" t="n">
        <v>38</v>
      </c>
      <c r="AA91" s="6" t="n">
        <v>3.5</v>
      </c>
      <c r="AB91" s="6"/>
      <c r="AC91" s="6"/>
      <c r="AD91" s="6"/>
      <c r="AE91" s="6" t="n">
        <v>0.003</v>
      </c>
      <c r="AF91" s="7" t="n">
        <f aca="false">IF(AND(ISNUMBER(G91),ISNUMBER(AE91)),IF(AE91&gt;0,G91/AE91,"N/A"),"N/A")</f>
        <v>1333.33333333333</v>
      </c>
      <c r="AG91" s="6" t="s">
        <v>131</v>
      </c>
      <c r="AH91" s="6" t="s">
        <v>63</v>
      </c>
      <c r="AI91" s="6"/>
      <c r="AJ91" s="6"/>
    </row>
    <row r="92" customFormat="false" ht="25.5" hidden="true" customHeight="true" outlineLevel="0" collapsed="false">
      <c r="A92" s="6" t="s">
        <v>340</v>
      </c>
      <c r="B92" s="6" t="s">
        <v>342</v>
      </c>
      <c r="C92" s="3" t="s">
        <v>125</v>
      </c>
      <c r="D92" s="6"/>
      <c r="E92" s="6"/>
      <c r="F92" s="6"/>
      <c r="G92" s="6" t="n">
        <v>1</v>
      </c>
      <c r="H92" s="6" t="n">
        <v>725</v>
      </c>
      <c r="I92" s="6" t="n">
        <v>7</v>
      </c>
      <c r="J92" s="6" t="n">
        <v>8</v>
      </c>
      <c r="K92" s="6"/>
      <c r="L92" s="6" t="n">
        <v>820</v>
      </c>
      <c r="M92" s="6"/>
      <c r="N92" s="6"/>
      <c r="O92" s="6"/>
      <c r="P92" s="6"/>
      <c r="Q92" s="7" t="str">
        <f aca="false">IF(AND(ISNUMBER(N92),ISNUMBER(J92),ISNUMBER(O92)),IF(AND(N92&gt;0,J92&gt;0,O92&gt;0),N92/J92*O92,"N/A"),"N/A")</f>
        <v>N/A</v>
      </c>
      <c r="R92" s="8" t="str">
        <f aca="false">IF(ISNUMBER(Q92),ROUND(1+9*PERCENTRANK($Q$2:$Q$140,Q92),1),"N/A")</f>
        <v>N/A</v>
      </c>
      <c r="S92" s="6"/>
      <c r="T92" s="6" t="n">
        <v>30000</v>
      </c>
      <c r="U92" s="6"/>
      <c r="V92" s="6" t="s">
        <v>70</v>
      </c>
      <c r="W92" s="6" t="n">
        <v>100</v>
      </c>
      <c r="X92" s="6" t="n">
        <v>22</v>
      </c>
      <c r="Y92" s="6" t="n">
        <v>1</v>
      </c>
      <c r="Z92" s="6" t="n">
        <v>150</v>
      </c>
      <c r="AA92" s="6" t="n">
        <v>0.1</v>
      </c>
      <c r="AB92" s="6"/>
      <c r="AC92" s="6"/>
      <c r="AD92" s="6"/>
      <c r="AE92" s="6" t="n">
        <v>0.015</v>
      </c>
      <c r="AF92" s="7" t="n">
        <f aca="false">IF(AND(ISNUMBER(G92),ISNUMBER(AE92)),IF(AE92&gt;0,G92/AE92,"N/A"),"N/A")</f>
        <v>66.6666666666667</v>
      </c>
      <c r="AG92" s="6" t="s">
        <v>131</v>
      </c>
      <c r="AH92" s="6" t="s">
        <v>63</v>
      </c>
      <c r="AI92" s="3" t="s">
        <v>343</v>
      </c>
      <c r="AJ92" s="6"/>
    </row>
    <row r="93" customFormat="false" ht="25.5" hidden="true" customHeight="true" outlineLevel="0" collapsed="false">
      <c r="A93" s="6" t="s">
        <v>340</v>
      </c>
      <c r="B93" s="6" t="s">
        <v>344</v>
      </c>
      <c r="C93" s="3" t="s">
        <v>125</v>
      </c>
      <c r="D93" s="6"/>
      <c r="E93" s="6"/>
      <c r="F93" s="6"/>
      <c r="G93" s="6" t="n">
        <v>10</v>
      </c>
      <c r="H93" s="6" t="n">
        <v>2650</v>
      </c>
      <c r="I93" s="6" t="n">
        <v>9</v>
      </c>
      <c r="J93" s="6" t="n">
        <v>42</v>
      </c>
      <c r="K93" s="6"/>
      <c r="L93" s="6" t="n">
        <v>3000</v>
      </c>
      <c r="M93" s="6"/>
      <c r="N93" s="6"/>
      <c r="O93" s="6"/>
      <c r="P93" s="6"/>
      <c r="Q93" s="7" t="str">
        <f aca="false">IF(AND(ISNUMBER(N93),ISNUMBER(J93),ISNUMBER(O93)),IF(AND(N93&gt;0,J93&gt;0,O93&gt;0),N93/J93*O93,"N/A"),"N/A")</f>
        <v>N/A</v>
      </c>
      <c r="R93" s="8" t="str">
        <f aca="false">IF(ISNUMBER(Q93),ROUND(1+9*PERCENTRANK($Q$2:$Q$140,Q93),1),"N/A")</f>
        <v>N/A</v>
      </c>
      <c r="S93" s="6"/>
      <c r="T93" s="6" t="n">
        <v>20000</v>
      </c>
      <c r="U93" s="6"/>
      <c r="V93" s="6" t="s">
        <v>70</v>
      </c>
      <c r="W93" s="6" t="n">
        <v>100</v>
      </c>
      <c r="X93" s="6" t="n">
        <v>60</v>
      </c>
      <c r="Y93" s="6" t="n">
        <v>1</v>
      </c>
      <c r="Z93" s="6" t="n">
        <v>60</v>
      </c>
      <c r="AA93" s="6"/>
      <c r="AB93" s="6"/>
      <c r="AC93" s="6"/>
      <c r="AD93" s="6"/>
      <c r="AE93" s="6" t="n">
        <v>0.03</v>
      </c>
      <c r="AF93" s="7" t="n">
        <f aca="false">IF(AND(ISNUMBER(G93),ISNUMBER(AE93)),IF(AE93&gt;0,G93/AE93,"N/A"),"N/A")</f>
        <v>333.333333333333</v>
      </c>
      <c r="AG93" s="6" t="s">
        <v>131</v>
      </c>
      <c r="AH93" s="6" t="s">
        <v>63</v>
      </c>
      <c r="AI93" s="3" t="s">
        <v>345</v>
      </c>
      <c r="AJ93" s="6"/>
    </row>
    <row r="94" customFormat="false" ht="25.5" hidden="true" customHeight="true" outlineLevel="0" collapsed="false">
      <c r="A94" s="6" t="s">
        <v>340</v>
      </c>
      <c r="B94" s="6" t="s">
        <v>346</v>
      </c>
      <c r="C94" s="3" t="s">
        <v>125</v>
      </c>
      <c r="D94" s="6"/>
      <c r="E94" s="6"/>
      <c r="F94" s="6"/>
      <c r="G94" s="6" t="n">
        <v>10</v>
      </c>
      <c r="H94" s="6" t="n">
        <v>700</v>
      </c>
      <c r="I94" s="6" t="n">
        <v>7</v>
      </c>
      <c r="J94" s="6" t="n">
        <v>45</v>
      </c>
      <c r="K94" s="6"/>
      <c r="L94" s="6" t="n">
        <v>850</v>
      </c>
      <c r="M94" s="6" t="n">
        <v>850</v>
      </c>
      <c r="N94" s="6"/>
      <c r="O94" s="6"/>
      <c r="P94" s="6"/>
      <c r="Q94" s="7" t="str">
        <f aca="false">IF(AND(ISNUMBER(N94),ISNUMBER(J94),ISNUMBER(O94)),IF(AND(N94&gt;0,J94&gt;0,O94&gt;0),N94/J94*O94,"N/A"),"N/A")</f>
        <v>N/A</v>
      </c>
      <c r="R94" s="8" t="str">
        <f aca="false">IF(ISNUMBER(Q94),ROUND(1+9*PERCENTRANK($Q$2:$Q$140,Q94),1),"N/A")</f>
        <v>N/A</v>
      </c>
      <c r="S94" s="6"/>
      <c r="T94" s="6" t="n">
        <v>40000</v>
      </c>
      <c r="U94" s="6"/>
      <c r="V94" s="6" t="s">
        <v>70</v>
      </c>
      <c r="W94" s="6" t="n">
        <v>30</v>
      </c>
      <c r="X94" s="6" t="n">
        <v>10</v>
      </c>
      <c r="Y94" s="6" t="n">
        <v>4</v>
      </c>
      <c r="Z94" s="6" t="n">
        <v>7</v>
      </c>
      <c r="AA94" s="6" t="n">
        <v>0.1</v>
      </c>
      <c r="AB94" s="6"/>
      <c r="AC94" s="6"/>
      <c r="AD94" s="6"/>
      <c r="AE94" s="6" t="n">
        <v>0.08</v>
      </c>
      <c r="AF94" s="7" t="n">
        <f aca="false">IF(AND(ISNUMBER(G94),ISNUMBER(AE94)),IF(AE94&gt;0,G94/AE94,"N/A"),"N/A")</f>
        <v>125</v>
      </c>
      <c r="AG94" s="6" t="s">
        <v>131</v>
      </c>
      <c r="AH94" s="6" t="s">
        <v>77</v>
      </c>
      <c r="AI94" s="6"/>
      <c r="AJ94" s="6"/>
    </row>
    <row r="95" customFormat="false" ht="38.25" hidden="true" customHeight="true" outlineLevel="0" collapsed="false">
      <c r="A95" s="6" t="s">
        <v>340</v>
      </c>
      <c r="B95" s="6" t="s">
        <v>347</v>
      </c>
      <c r="C95" s="3" t="s">
        <v>125</v>
      </c>
      <c r="D95" s="6"/>
      <c r="E95" s="6"/>
      <c r="F95" s="6"/>
      <c r="G95" s="6" t="n">
        <v>0.04</v>
      </c>
      <c r="H95" s="6" t="n">
        <v>650</v>
      </c>
      <c r="I95" s="6" t="n">
        <v>5</v>
      </c>
      <c r="J95" s="6" t="n">
        <v>0.1</v>
      </c>
      <c r="K95" s="6"/>
      <c r="L95" s="6" t="n">
        <v>1100</v>
      </c>
      <c r="M95" s="6"/>
      <c r="N95" s="6"/>
      <c r="O95" s="6"/>
      <c r="P95" s="6"/>
      <c r="Q95" s="7" t="str">
        <f aca="false">IF(AND(ISNUMBER(N95),ISNUMBER(J95),ISNUMBER(O95)),IF(AND(N95&gt;0,J95&gt;0,O95&gt;0),N95/J95*O95,"N/A"),"N/A")</f>
        <v>N/A</v>
      </c>
      <c r="R95" s="8" t="str">
        <f aca="false">IF(ISNUMBER(Q95),ROUND(1+9*PERCENTRANK($Q$2:$Q$140,Q95),1),"N/A")</f>
        <v>N/A</v>
      </c>
      <c r="S95" s="6"/>
      <c r="T95" s="6" t="n">
        <v>4000</v>
      </c>
      <c r="U95" s="6"/>
      <c r="V95" s="6" t="s">
        <v>70</v>
      </c>
      <c r="W95" s="6" t="n">
        <v>100</v>
      </c>
      <c r="X95" s="6" t="n">
        <v>5000</v>
      </c>
      <c r="Y95" s="6" t="n">
        <v>2400</v>
      </c>
      <c r="Z95" s="6" t="n">
        <v>1</v>
      </c>
      <c r="AA95" s="6" t="n">
        <v>0.05</v>
      </c>
      <c r="AB95" s="6"/>
      <c r="AC95" s="6"/>
      <c r="AD95" s="6"/>
      <c r="AE95" s="6" t="n">
        <v>0.0005</v>
      </c>
      <c r="AF95" s="7" t="n">
        <f aca="false">IF(AND(ISNUMBER(G95),ISNUMBER(AE95)),IF(AE95&gt;0,G95/AE95,"N/A"),"N/A")</f>
        <v>80</v>
      </c>
      <c r="AG95" s="6" t="s">
        <v>131</v>
      </c>
      <c r="AH95" s="6" t="s">
        <v>63</v>
      </c>
      <c r="AI95" s="3" t="s">
        <v>348</v>
      </c>
      <c r="AJ95" s="3" t="s">
        <v>319</v>
      </c>
    </row>
    <row r="96" customFormat="false" ht="25.5" hidden="true" customHeight="true" outlineLevel="0" collapsed="false">
      <c r="A96" s="6" t="s">
        <v>340</v>
      </c>
      <c r="B96" s="6" t="s">
        <v>349</v>
      </c>
      <c r="C96" s="3" t="s">
        <v>125</v>
      </c>
      <c r="D96" s="6"/>
      <c r="E96" s="6"/>
      <c r="F96" s="6"/>
      <c r="G96" s="6" t="n">
        <v>0.2</v>
      </c>
      <c r="H96" s="6" t="n">
        <v>800</v>
      </c>
      <c r="I96" s="6" t="n">
        <v>5</v>
      </c>
      <c r="J96" s="6" t="n">
        <v>1.4</v>
      </c>
      <c r="K96" s="6"/>
      <c r="L96" s="6" t="n">
        <v>900</v>
      </c>
      <c r="M96" s="6"/>
      <c r="N96" s="6"/>
      <c r="O96" s="6"/>
      <c r="P96" s="6"/>
      <c r="Q96" s="7" t="str">
        <f aca="false">IF(AND(ISNUMBER(N96),ISNUMBER(J96),ISNUMBER(O96)),IF(AND(N96&gt;0,J96&gt;0,O96&gt;0),N96/J96*O96,"N/A"),"N/A")</f>
        <v>N/A</v>
      </c>
      <c r="R96" s="8" t="str">
        <f aca="false">IF(ISNUMBER(Q96),ROUND(1+9*PERCENTRANK($Q$2:$Q$140,Q96),1),"N/A")</f>
        <v>N/A</v>
      </c>
      <c r="S96" s="6"/>
      <c r="T96" s="6" t="n">
        <v>5000</v>
      </c>
      <c r="U96" s="6"/>
      <c r="V96" s="6" t="s">
        <v>70</v>
      </c>
      <c r="W96" s="6" t="s">
        <v>70</v>
      </c>
      <c r="X96" s="6" t="n">
        <v>1200</v>
      </c>
      <c r="Y96" s="6" t="n">
        <v>600</v>
      </c>
      <c r="Z96" s="6" t="n">
        <v>1</v>
      </c>
      <c r="AA96" s="6" t="n">
        <v>1</v>
      </c>
      <c r="AB96" s="6"/>
      <c r="AC96" s="6"/>
      <c r="AD96" s="6"/>
      <c r="AE96" s="6" t="n">
        <v>0.00012</v>
      </c>
      <c r="AF96" s="7" t="n">
        <f aca="false">IF(AND(ISNUMBER(G96),ISNUMBER(AE96)),IF(AE96&gt;0,G96/AE96,"N/A"),"N/A")</f>
        <v>1666.66666666667</v>
      </c>
      <c r="AG96" s="6" t="s">
        <v>126</v>
      </c>
      <c r="AH96" s="3" t="s">
        <v>129</v>
      </c>
      <c r="AI96" s="6" t="s">
        <v>350</v>
      </c>
      <c r="AJ96" s="6"/>
    </row>
    <row r="97" customFormat="false" ht="25.5" hidden="true" customHeight="true" outlineLevel="0" collapsed="false">
      <c r="A97" s="6" t="s">
        <v>340</v>
      </c>
      <c r="B97" s="6" t="s">
        <v>351</v>
      </c>
      <c r="C97" s="3" t="s">
        <v>125</v>
      </c>
      <c r="D97" s="6"/>
      <c r="E97" s="6"/>
      <c r="F97" s="6"/>
      <c r="G97" s="6" t="n">
        <v>0.5</v>
      </c>
      <c r="H97" s="6" t="n">
        <v>900</v>
      </c>
      <c r="I97" s="6" t="n">
        <v>6</v>
      </c>
      <c r="J97" s="6" t="n">
        <v>0.25</v>
      </c>
      <c r="K97" s="6"/>
      <c r="L97" s="6" t="n">
        <v>1260</v>
      </c>
      <c r="M97" s="6"/>
      <c r="N97" s="6"/>
      <c r="O97" s="6"/>
      <c r="P97" s="6"/>
      <c r="Q97" s="7" t="str">
        <f aca="false">IF(AND(ISNUMBER(N97),ISNUMBER(J97),ISNUMBER(O97)),IF(AND(N97&gt;0,J97&gt;0,O97&gt;0),N97/J97*O97,"N/A"),"N/A")</f>
        <v>N/A</v>
      </c>
      <c r="R97" s="8" t="str">
        <f aca="false">IF(ISNUMBER(Q97),ROUND(1+9*PERCENTRANK($Q$2:$Q$140,Q97),1),"N/A")</f>
        <v>N/A</v>
      </c>
      <c r="S97" s="6"/>
      <c r="T97" s="6" t="n">
        <v>6000</v>
      </c>
      <c r="U97" s="6"/>
      <c r="V97" s="6" t="s">
        <v>70</v>
      </c>
      <c r="W97" s="6" t="n">
        <v>100</v>
      </c>
      <c r="X97" s="6" t="n">
        <v>450</v>
      </c>
      <c r="Y97" s="6" t="n">
        <v>300</v>
      </c>
      <c r="Z97" s="6" t="n">
        <v>1</v>
      </c>
      <c r="AA97" s="6" t="n">
        <v>0.05</v>
      </c>
      <c r="AB97" s="6"/>
      <c r="AC97" s="6"/>
      <c r="AD97" s="6"/>
      <c r="AE97" s="6" t="n">
        <v>0.001</v>
      </c>
      <c r="AF97" s="7" t="n">
        <f aca="false">IF(AND(ISNUMBER(G97),ISNUMBER(AE97)),IF(AE97&gt;0,G97/AE97,"N/A"),"N/A")</f>
        <v>500</v>
      </c>
      <c r="AG97" s="6" t="s">
        <v>131</v>
      </c>
      <c r="AH97" s="6" t="s">
        <v>63</v>
      </c>
      <c r="AI97" s="3" t="s">
        <v>352</v>
      </c>
      <c r="AJ97" s="6"/>
    </row>
    <row r="98" customFormat="false" ht="25.5" hidden="true" customHeight="true" outlineLevel="0" collapsed="false">
      <c r="A98" s="6" t="s">
        <v>340</v>
      </c>
      <c r="B98" s="6" t="s">
        <v>353</v>
      </c>
      <c r="C98" s="3" t="s">
        <v>125</v>
      </c>
      <c r="D98" s="6"/>
      <c r="E98" s="6"/>
      <c r="F98" s="6"/>
      <c r="G98" s="6" t="n">
        <v>5</v>
      </c>
      <c r="H98" s="6" t="n">
        <v>450</v>
      </c>
      <c r="I98" s="6" t="n">
        <v>5</v>
      </c>
      <c r="J98" s="6" t="n">
        <v>5</v>
      </c>
      <c r="K98" s="6"/>
      <c r="L98" s="6" t="n">
        <v>300</v>
      </c>
      <c r="M98" s="6" t="n">
        <v>300</v>
      </c>
      <c r="N98" s="6"/>
      <c r="O98" s="6"/>
      <c r="P98" s="6"/>
      <c r="Q98" s="7" t="str">
        <f aca="false">IF(AND(ISNUMBER(N98),ISNUMBER(J98),ISNUMBER(O98)),IF(AND(N98&gt;0,J98&gt;0,O98&gt;0),N98/J98*O98,"N/A"),"N/A")</f>
        <v>N/A</v>
      </c>
      <c r="R98" s="8" t="str">
        <f aca="false">IF(ISNUMBER(Q98),ROUND(1+9*PERCENTRANK($Q$2:$Q$140,Q98),1),"N/A")</f>
        <v>N/A</v>
      </c>
      <c r="S98" s="6"/>
      <c r="T98" s="6" t="n">
        <v>10000</v>
      </c>
      <c r="U98" s="6"/>
      <c r="V98" s="6" t="s">
        <v>70</v>
      </c>
      <c r="W98" s="6" t="n">
        <v>30</v>
      </c>
      <c r="X98" s="6" t="n">
        <v>60</v>
      </c>
      <c r="Y98" s="6" t="n">
        <v>8</v>
      </c>
      <c r="Z98" s="6" t="n">
        <v>4</v>
      </c>
      <c r="AA98" s="6" t="n">
        <v>5</v>
      </c>
      <c r="AB98" s="6"/>
      <c r="AC98" s="6"/>
      <c r="AD98" s="6"/>
      <c r="AE98" s="6" t="n">
        <v>0.0125</v>
      </c>
      <c r="AF98" s="7" t="n">
        <f aca="false">IF(AND(ISNUMBER(G98),ISNUMBER(AE98)),IF(AE98&gt;0,G98/AE98,"N/A"),"N/A")</f>
        <v>400</v>
      </c>
      <c r="AG98" s="6" t="s">
        <v>131</v>
      </c>
      <c r="AH98" s="6" t="s">
        <v>77</v>
      </c>
      <c r="AI98" s="3" t="s">
        <v>354</v>
      </c>
      <c r="AJ98" s="6"/>
    </row>
    <row r="99" customFormat="false" ht="38.25" hidden="true" customHeight="true" outlineLevel="0" collapsed="false">
      <c r="A99" s="6" t="s">
        <v>340</v>
      </c>
      <c r="B99" s="6" t="s">
        <v>310</v>
      </c>
      <c r="C99" s="6" t="s">
        <v>303</v>
      </c>
      <c r="D99" s="6"/>
      <c r="E99" s="6"/>
      <c r="F99" s="6"/>
      <c r="G99" s="6"/>
      <c r="H99" s="6"/>
      <c r="I99" s="6" t="n">
        <v>0</v>
      </c>
      <c r="J99" s="6" t="n">
        <v>0</v>
      </c>
      <c r="K99" s="6"/>
      <c r="L99" s="6"/>
      <c r="M99" s="6"/>
      <c r="N99" s="6"/>
      <c r="O99" s="6"/>
      <c r="P99" s="6"/>
      <c r="Q99" s="7" t="str">
        <f aca="false">IF(AND(ISNUMBER(N99),ISNUMBER(J99),ISNUMBER(O99)),IF(AND(N99&gt;0,J99&gt;0,O99&gt;0),N99/J99*O99,"N/A"),"N/A")</f>
        <v>N/A</v>
      </c>
      <c r="R99" s="8" t="str">
        <f aca="false">IF(ISNUMBER(Q99),ROUND(1+9*PERCENTRANK($Q$2:$Q$140,Q99),1),"N/A")</f>
        <v>N/A</v>
      </c>
      <c r="S99" s="6"/>
      <c r="T99" s="6"/>
      <c r="U99" s="6"/>
      <c r="V99" s="6" t="n">
        <v>0</v>
      </c>
      <c r="W99" s="6" t="n">
        <v>0</v>
      </c>
      <c r="X99" s="6"/>
      <c r="Y99" s="6"/>
      <c r="Z99" s="6"/>
      <c r="AA99" s="6"/>
      <c r="AB99" s="6"/>
      <c r="AC99" s="6"/>
      <c r="AD99" s="6"/>
      <c r="AE99" s="6" t="n">
        <v>0</v>
      </c>
      <c r="AF99" s="7" t="str">
        <f aca="false">IF(AND(ISNUMBER(G99),ISNUMBER(AE99)),IF(AE99&gt;0,G99/AE99,"N/A"),"N/A")</f>
        <v>N/A</v>
      </c>
      <c r="AG99" s="6" t="s">
        <v>304</v>
      </c>
      <c r="AH99" s="6"/>
      <c r="AI99" s="3" t="s">
        <v>355</v>
      </c>
      <c r="AJ99" s="3" t="s">
        <v>319</v>
      </c>
    </row>
    <row r="100" customFormat="false" ht="25.5" hidden="true" customHeight="true" outlineLevel="0" collapsed="false">
      <c r="A100" s="6" t="s">
        <v>356</v>
      </c>
      <c r="B100" s="6" t="s">
        <v>357</v>
      </c>
      <c r="C100" s="3" t="s">
        <v>125</v>
      </c>
      <c r="D100" s="6"/>
      <c r="E100" s="6"/>
      <c r="F100" s="6"/>
      <c r="G100" s="6" t="n">
        <v>0.07</v>
      </c>
      <c r="H100" s="6" t="n">
        <v>625</v>
      </c>
      <c r="I100" s="6" t="n">
        <v>5</v>
      </c>
      <c r="J100" s="6" t="n">
        <v>0.4</v>
      </c>
      <c r="K100" s="6"/>
      <c r="L100" s="6" t="n">
        <v>800</v>
      </c>
      <c r="M100" s="6" t="n">
        <v>800</v>
      </c>
      <c r="N100" s="6"/>
      <c r="O100" s="6"/>
      <c r="P100" s="6"/>
      <c r="Q100" s="7" t="str">
        <f aca="false">IF(AND(ISNUMBER(N100),ISNUMBER(J100),ISNUMBER(O100)),IF(AND(N100&gt;0,J100&gt;0,O100&gt;0),N100/J100*O100,"N/A"),"N/A")</f>
        <v>N/A</v>
      </c>
      <c r="R100" s="8" t="str">
        <f aca="false">IF(ISNUMBER(Q100),ROUND(1+9*PERCENTRANK($Q$2:$Q$140,Q100),1),"N/A")</f>
        <v>N/A</v>
      </c>
      <c r="S100" s="6"/>
      <c r="T100" s="6" t="n">
        <v>3000</v>
      </c>
      <c r="U100" s="6"/>
      <c r="V100" s="6" t="s">
        <v>70</v>
      </c>
      <c r="W100" s="6" t="s">
        <v>70</v>
      </c>
      <c r="X100" s="6" t="n">
        <v>400</v>
      </c>
      <c r="Y100" s="6" t="n">
        <v>40</v>
      </c>
      <c r="Z100" s="6" t="n">
        <v>0</v>
      </c>
      <c r="AA100" s="6" t="n">
        <v>2.5</v>
      </c>
      <c r="AB100" s="6"/>
      <c r="AC100" s="6"/>
      <c r="AD100" s="6"/>
      <c r="AE100" s="6" t="n">
        <v>6E-005</v>
      </c>
      <c r="AF100" s="7" t="n">
        <f aca="false">IF(AND(ISNUMBER(G100),ISNUMBER(AE100)),IF(AE100&gt;0,G100/AE100,"N/A"),"N/A")</f>
        <v>1166.66666666667</v>
      </c>
      <c r="AG100" s="6" t="s">
        <v>126</v>
      </c>
      <c r="AH100" s="6" t="s">
        <v>63</v>
      </c>
      <c r="AI100" s="6"/>
      <c r="AJ100" s="6"/>
    </row>
    <row r="101" customFormat="false" ht="25.5" hidden="true" customHeight="true" outlineLevel="0" collapsed="false">
      <c r="A101" s="6" t="s">
        <v>356</v>
      </c>
      <c r="B101" s="6" t="s">
        <v>358</v>
      </c>
      <c r="C101" s="3" t="s">
        <v>125</v>
      </c>
      <c r="D101" s="6"/>
      <c r="E101" s="6"/>
      <c r="F101" s="6"/>
      <c r="G101" s="6" t="n">
        <v>5</v>
      </c>
      <c r="H101" s="6" t="n">
        <v>1900</v>
      </c>
      <c r="I101" s="6" t="n">
        <v>5</v>
      </c>
      <c r="J101" s="6" t="n">
        <v>0</v>
      </c>
      <c r="K101" s="6"/>
      <c r="L101" s="6" t="n">
        <v>1800</v>
      </c>
      <c r="M101" s="6" t="n">
        <v>800</v>
      </c>
      <c r="N101" s="6"/>
      <c r="O101" s="6"/>
      <c r="P101" s="6"/>
      <c r="Q101" s="7" t="str">
        <f aca="false">IF(AND(ISNUMBER(N101),ISNUMBER(J101),ISNUMBER(O101)),IF(AND(N101&gt;0,J101&gt;0,O101&gt;0),N101/J101*O101,"N/A"),"N/A")</f>
        <v>N/A</v>
      </c>
      <c r="R101" s="8" t="str">
        <f aca="false">IF(ISNUMBER(Q101),ROUND(1+9*PERCENTRANK($Q$2:$Q$140,Q101),1),"N/A")</f>
        <v>N/A</v>
      </c>
      <c r="S101" s="6"/>
      <c r="T101" s="6" t="n">
        <v>3000</v>
      </c>
      <c r="U101" s="6"/>
      <c r="V101" s="6" t="s">
        <v>70</v>
      </c>
      <c r="W101" s="6" t="s">
        <v>70</v>
      </c>
      <c r="X101" s="6" t="n">
        <v>3500</v>
      </c>
      <c r="Y101" s="6" t="n">
        <v>6000</v>
      </c>
      <c r="Z101" s="6" t="n">
        <v>0</v>
      </c>
      <c r="AA101" s="6" t="n">
        <v>2.5</v>
      </c>
      <c r="AB101" s="6"/>
      <c r="AC101" s="6"/>
      <c r="AD101" s="6"/>
      <c r="AE101" s="6" t="n">
        <v>6E-005</v>
      </c>
      <c r="AF101" s="7" t="n">
        <f aca="false">IF(AND(ISNUMBER(G101),ISNUMBER(AE101)),IF(AE101&gt;0,G101/AE101,"N/A"),"N/A")</f>
        <v>83333.3333333333</v>
      </c>
      <c r="AG101" s="6" t="s">
        <v>126</v>
      </c>
      <c r="AH101" s="6" t="s">
        <v>63</v>
      </c>
      <c r="AI101" s="3" t="s">
        <v>359</v>
      </c>
      <c r="AJ101" s="3" t="s">
        <v>360</v>
      </c>
    </row>
    <row r="102" customFormat="false" ht="25.5" hidden="true" customHeight="true" outlineLevel="0" collapsed="false">
      <c r="A102" s="6" t="s">
        <v>361</v>
      </c>
      <c r="B102" s="6" t="s">
        <v>362</v>
      </c>
      <c r="C102" s="3" t="s">
        <v>125</v>
      </c>
      <c r="D102" s="6"/>
      <c r="E102" s="6"/>
      <c r="F102" s="6"/>
      <c r="G102" s="6" t="n">
        <v>17</v>
      </c>
      <c r="H102" s="6" t="n">
        <v>2700</v>
      </c>
      <c r="I102" s="6" t="n">
        <v>9</v>
      </c>
      <c r="J102" s="6" t="n">
        <v>42</v>
      </c>
      <c r="K102" s="6"/>
      <c r="L102" s="6" t="n">
        <v>2680</v>
      </c>
      <c r="M102" s="6"/>
      <c r="N102" s="6"/>
      <c r="O102" s="6"/>
      <c r="P102" s="6"/>
      <c r="Q102" s="7" t="str">
        <f aca="false">IF(AND(ISNUMBER(N102),ISNUMBER(J102),ISNUMBER(O102)),IF(AND(N102&gt;0,J102&gt;0,O102&gt;0),N102/J102*O102,"N/A"),"N/A")</f>
        <v>N/A</v>
      </c>
      <c r="R102" s="8" t="str">
        <f aca="false">IF(ISNUMBER(Q102),ROUND(1+9*PERCENTRANK($Q$2:$Q$140,Q102),1),"N/A")</f>
        <v>N/A</v>
      </c>
      <c r="S102" s="6" t="n">
        <v>300</v>
      </c>
      <c r="T102" s="6" t="n">
        <v>50000</v>
      </c>
      <c r="U102" s="6"/>
      <c r="V102" s="6" t="s">
        <v>70</v>
      </c>
      <c r="W102" s="6" t="n">
        <v>50</v>
      </c>
      <c r="X102" s="6" t="n">
        <v>60</v>
      </c>
      <c r="Y102" s="6" t="n">
        <v>1</v>
      </c>
      <c r="Z102" s="6" t="n">
        <v>209</v>
      </c>
      <c r="AA102" s="6" t="n">
        <v>0.01</v>
      </c>
      <c r="AB102" s="6"/>
      <c r="AC102" s="6"/>
      <c r="AD102" s="6"/>
      <c r="AE102" s="6" t="n">
        <v>0.03</v>
      </c>
      <c r="AF102" s="7" t="n">
        <f aca="false">IF(AND(ISNUMBER(G102),ISNUMBER(AE102)),IF(AE102&gt;0,G102/AE102,"N/A"),"N/A")</f>
        <v>566.666666666667</v>
      </c>
      <c r="AG102" s="6" t="s">
        <v>131</v>
      </c>
      <c r="AH102" s="6" t="s">
        <v>63</v>
      </c>
      <c r="AI102" s="6"/>
      <c r="AJ102" s="6"/>
    </row>
    <row r="103" customFormat="false" ht="25.5" hidden="true" customHeight="true" outlineLevel="0" collapsed="false">
      <c r="A103" s="6" t="s">
        <v>361</v>
      </c>
      <c r="B103" s="6" t="s">
        <v>363</v>
      </c>
      <c r="C103" s="3" t="s">
        <v>125</v>
      </c>
      <c r="D103" s="6"/>
      <c r="E103" s="6"/>
      <c r="F103" s="6"/>
      <c r="G103" s="6" t="n">
        <v>10</v>
      </c>
      <c r="H103" s="6" t="n">
        <v>10000</v>
      </c>
      <c r="I103" s="6" t="n">
        <v>20</v>
      </c>
      <c r="J103" s="6" t="n">
        <v>1</v>
      </c>
      <c r="K103" s="6"/>
      <c r="L103" s="6" t="n">
        <v>100</v>
      </c>
      <c r="M103" s="6"/>
      <c r="N103" s="6"/>
      <c r="O103" s="6"/>
      <c r="P103" s="6"/>
      <c r="Q103" s="7" t="str">
        <f aca="false">IF(AND(ISNUMBER(N103),ISNUMBER(J103),ISNUMBER(O103)),IF(AND(N103&gt;0,J103&gt;0,O103&gt;0),N103/J103*O103,"N/A"),"N/A")</f>
        <v>N/A</v>
      </c>
      <c r="R103" s="8" t="str">
        <f aca="false">IF(ISNUMBER(Q103),ROUND(1+9*PERCENTRANK($Q$2:$Q$140,Q103),1),"N/A")</f>
        <v>N/A</v>
      </c>
      <c r="S103" s="6"/>
      <c r="T103" s="6" t="n">
        <v>100</v>
      </c>
      <c r="U103" s="6"/>
      <c r="V103" s="6" t="n">
        <v>50</v>
      </c>
      <c r="W103" s="6" t="n">
        <v>0</v>
      </c>
      <c r="X103" s="6" t="n">
        <v>600</v>
      </c>
      <c r="Y103" s="6" t="n">
        <v>1</v>
      </c>
      <c r="Z103" s="6" t="n">
        <v>0</v>
      </c>
      <c r="AA103" s="6"/>
      <c r="AB103" s="6"/>
      <c r="AC103" s="6"/>
      <c r="AD103" s="6"/>
      <c r="AE103" s="6" t="n">
        <v>1</v>
      </c>
      <c r="AF103" s="7" t="n">
        <f aca="false">IF(AND(ISNUMBER(G103),ISNUMBER(AE103)),IF(AE103&gt;0,G103/AE103,"N/A"),"N/A")</f>
        <v>10</v>
      </c>
      <c r="AG103" s="6" t="s">
        <v>126</v>
      </c>
      <c r="AH103" s="6" t="s">
        <v>77</v>
      </c>
      <c r="AI103" s="3" t="s">
        <v>364</v>
      </c>
      <c r="AJ103" s="6"/>
    </row>
    <row r="104" customFormat="false" ht="25.5" hidden="true" customHeight="true" outlineLevel="0" collapsed="false">
      <c r="A104" s="6" t="s">
        <v>361</v>
      </c>
      <c r="B104" s="6" t="s">
        <v>365</v>
      </c>
      <c r="C104" s="3" t="s">
        <v>125</v>
      </c>
      <c r="D104" s="6"/>
      <c r="E104" s="6"/>
      <c r="F104" s="6"/>
      <c r="G104" s="6" t="n">
        <v>10</v>
      </c>
      <c r="H104" s="6" t="n">
        <v>4000</v>
      </c>
      <c r="I104" s="6" t="n">
        <v>7</v>
      </c>
      <c r="J104" s="6" t="n">
        <v>30</v>
      </c>
      <c r="K104" s="6"/>
      <c r="L104" s="6" t="n">
        <v>2100</v>
      </c>
      <c r="M104" s="6"/>
      <c r="N104" s="6"/>
      <c r="O104" s="6"/>
      <c r="P104" s="6"/>
      <c r="Q104" s="7" t="str">
        <f aca="false">IF(AND(ISNUMBER(N104),ISNUMBER(J104),ISNUMBER(O104)),IF(AND(N104&gt;0,J104&gt;0,O104&gt;0),N104/J104*O104,"N/A"),"N/A")</f>
        <v>N/A</v>
      </c>
      <c r="R104" s="8" t="str">
        <f aca="false">IF(ISNUMBER(Q104),ROUND(1+9*PERCENTRANK($Q$2:$Q$140,Q104),1),"N/A")</f>
        <v>N/A</v>
      </c>
      <c r="S104" s="6"/>
      <c r="T104" s="6" t="n">
        <v>40000</v>
      </c>
      <c r="U104" s="6"/>
      <c r="V104" s="6" t="n">
        <v>500</v>
      </c>
      <c r="W104" s="6" t="n">
        <v>80</v>
      </c>
      <c r="X104" s="6" t="n">
        <v>120</v>
      </c>
      <c r="Y104" s="6" t="n">
        <v>2</v>
      </c>
      <c r="Z104" s="6" t="n">
        <v>240</v>
      </c>
      <c r="AA104" s="6" t="n">
        <v>0.02</v>
      </c>
      <c r="AB104" s="6"/>
      <c r="AC104" s="6"/>
      <c r="AD104" s="6"/>
      <c r="AE104" s="6" t="n">
        <v>0.003</v>
      </c>
      <c r="AF104" s="7" t="n">
        <f aca="false">IF(AND(ISNUMBER(G104),ISNUMBER(AE104)),IF(AE104&gt;0,G104/AE104,"N/A"),"N/A")</f>
        <v>3333.33333333333</v>
      </c>
      <c r="AG104" s="6" t="s">
        <v>131</v>
      </c>
      <c r="AH104" s="6" t="s">
        <v>63</v>
      </c>
      <c r="AI104" s="6"/>
      <c r="AJ104" s="6"/>
    </row>
    <row r="105" customFormat="false" ht="25.5" hidden="true" customHeight="true" outlineLevel="0" collapsed="false">
      <c r="A105" s="6" t="s">
        <v>361</v>
      </c>
      <c r="B105" s="6" t="s">
        <v>366</v>
      </c>
      <c r="C105" s="3" t="s">
        <v>125</v>
      </c>
      <c r="D105" s="6"/>
      <c r="E105" s="6"/>
      <c r="F105" s="6"/>
      <c r="G105" s="6" t="n">
        <v>0.04</v>
      </c>
      <c r="H105" s="6" t="n">
        <v>460</v>
      </c>
      <c r="I105" s="6" t="n">
        <v>5</v>
      </c>
      <c r="J105" s="6" t="n">
        <v>0.2</v>
      </c>
      <c r="K105" s="6"/>
      <c r="L105" s="6" t="n">
        <v>1200</v>
      </c>
      <c r="M105" s="6"/>
      <c r="N105" s="6"/>
      <c r="O105" s="6"/>
      <c r="P105" s="6"/>
      <c r="Q105" s="7" t="str">
        <f aca="false">IF(AND(ISNUMBER(N105),ISNUMBER(J105),ISNUMBER(O105)),IF(AND(N105&gt;0,J105&gt;0,O105&gt;0),N105/J105*O105,"N/A"),"N/A")</f>
        <v>N/A</v>
      </c>
      <c r="R105" s="8" t="str">
        <f aca="false">IF(ISNUMBER(Q105),ROUND(1+9*PERCENTRANK($Q$2:$Q$140,Q105),1),"N/A")</f>
        <v>N/A</v>
      </c>
      <c r="S105" s="6"/>
      <c r="T105" s="6" t="n">
        <v>3000</v>
      </c>
      <c r="U105" s="6"/>
      <c r="V105" s="6" t="n">
        <v>4000</v>
      </c>
      <c r="W105" s="6" t="s">
        <v>70</v>
      </c>
      <c r="X105" s="6" t="n">
        <v>3600</v>
      </c>
      <c r="Y105" s="6" t="n">
        <v>1600</v>
      </c>
      <c r="Z105" s="6" t="n">
        <v>2</v>
      </c>
      <c r="AA105" s="6" t="n">
        <v>1</v>
      </c>
      <c r="AB105" s="6"/>
      <c r="AC105" s="6"/>
      <c r="AD105" s="6"/>
      <c r="AE105" s="6" t="n">
        <v>0.0002</v>
      </c>
      <c r="AF105" s="7" t="n">
        <f aca="false">IF(AND(ISNUMBER(G105),ISNUMBER(AE105)),IF(AE105&gt;0,G105/AE105,"N/A"),"N/A")</f>
        <v>200</v>
      </c>
      <c r="AG105" s="6" t="s">
        <v>131</v>
      </c>
      <c r="AH105" s="3" t="s">
        <v>129</v>
      </c>
      <c r="AI105" s="6"/>
      <c r="AJ105" s="6"/>
    </row>
    <row r="106" customFormat="false" ht="25.5" hidden="true" customHeight="true" outlineLevel="0" collapsed="false">
      <c r="A106" s="6" t="s">
        <v>361</v>
      </c>
      <c r="B106" s="6" t="s">
        <v>327</v>
      </c>
      <c r="C106" s="3" t="s">
        <v>125</v>
      </c>
      <c r="D106" s="6"/>
      <c r="E106" s="6"/>
      <c r="F106" s="6"/>
      <c r="G106" s="6" t="n">
        <v>0.13</v>
      </c>
      <c r="H106" s="6" t="n">
        <v>725</v>
      </c>
      <c r="I106" s="6" t="n">
        <v>5</v>
      </c>
      <c r="J106" s="6" t="n">
        <v>1.4</v>
      </c>
      <c r="K106" s="6"/>
      <c r="L106" s="6" t="n">
        <v>1175</v>
      </c>
      <c r="M106" s="6"/>
      <c r="N106" s="6"/>
      <c r="O106" s="6"/>
      <c r="P106" s="6"/>
      <c r="Q106" s="7" t="str">
        <f aca="false">IF(AND(ISNUMBER(N106),ISNUMBER(J106),ISNUMBER(O106)),IF(AND(N106&gt;0,J106&gt;0,O106&gt;0),N106/J106*O106,"N/A"),"N/A")</f>
        <v>N/A</v>
      </c>
      <c r="R106" s="8" t="str">
        <f aca="false">IF(ISNUMBER(Q106),ROUND(1+9*PERCENTRANK($Q$2:$Q$140,Q106),1),"N/A")</f>
        <v>N/A</v>
      </c>
      <c r="S106" s="6"/>
      <c r="T106" s="6" t="n">
        <v>4500</v>
      </c>
      <c r="U106" s="6"/>
      <c r="V106" s="6" t="s">
        <v>70</v>
      </c>
      <c r="W106" s="6" t="s">
        <v>70</v>
      </c>
      <c r="X106" s="6" t="n">
        <v>180</v>
      </c>
      <c r="Y106" s="6" t="n">
        <v>300</v>
      </c>
      <c r="Z106" s="6" t="n">
        <v>3</v>
      </c>
      <c r="AA106" s="6" t="n">
        <v>0.1</v>
      </c>
      <c r="AB106" s="6"/>
      <c r="AC106" s="6"/>
      <c r="AD106" s="6"/>
      <c r="AE106" s="6" t="n">
        <v>0.00012</v>
      </c>
      <c r="AF106" s="7" t="n">
        <f aca="false">IF(AND(ISNUMBER(G106),ISNUMBER(AE106)),IF(AE106&gt;0,G106/AE106,"N/A"),"N/A")</f>
        <v>1083.33333333333</v>
      </c>
      <c r="AG106" s="6" t="s">
        <v>126</v>
      </c>
      <c r="AH106" s="3" t="s">
        <v>129</v>
      </c>
      <c r="AI106" s="3" t="s">
        <v>328</v>
      </c>
      <c r="AJ106" s="6"/>
    </row>
    <row r="107" customFormat="false" ht="63.75" hidden="false" customHeight="true" outlineLevel="0" collapsed="false">
      <c r="A107" s="6" t="s">
        <v>361</v>
      </c>
      <c r="B107" s="6" t="s">
        <v>367</v>
      </c>
      <c r="C107" s="6" t="s">
        <v>275</v>
      </c>
      <c r="D107" s="6" t="s">
        <v>204</v>
      </c>
      <c r="E107" s="3" t="s">
        <v>368</v>
      </c>
      <c r="F107" s="3" t="s">
        <v>271</v>
      </c>
      <c r="G107" s="6" t="n">
        <v>20000000</v>
      </c>
      <c r="H107" s="6" t="n">
        <v>0</v>
      </c>
      <c r="I107" s="6" t="n">
        <v>9</v>
      </c>
      <c r="J107" s="6" t="n">
        <v>1280</v>
      </c>
      <c r="K107" s="6" t="s">
        <v>369</v>
      </c>
      <c r="L107" s="6"/>
      <c r="M107" s="6"/>
      <c r="N107" s="6" t="n">
        <v>6500</v>
      </c>
      <c r="O107" s="6" t="n">
        <v>1000</v>
      </c>
      <c r="P107" s="6" t="n">
        <v>400</v>
      </c>
      <c r="Q107" s="7" t="n">
        <f aca="false">IF(AND(ISNUMBER(N107),ISNUMBER(J107),ISNUMBER(O107)),IF(AND(N107&gt;0,J107&gt;0,O107&gt;0),N107/J107*O107,"N/A"),"N/A")</f>
        <v>5078.125</v>
      </c>
      <c r="R107" s="8" t="n">
        <f aca="false">IF(ISNUMBER(Q107),ROUND(1+9*PERCENTRANK($Q$2:$Q$140,Q107),1),"N/A")</f>
        <v>8.5</v>
      </c>
      <c r="S107" s="6" t="n">
        <v>5000</v>
      </c>
      <c r="T107" s="6" t="n">
        <v>1000000</v>
      </c>
      <c r="U107" s="6"/>
      <c r="V107" s="6" t="n">
        <v>100</v>
      </c>
      <c r="W107" s="6" t="n">
        <v>50</v>
      </c>
      <c r="X107" s="6"/>
      <c r="Y107" s="6"/>
      <c r="Z107" s="6"/>
      <c r="AA107" s="6"/>
      <c r="AB107" s="6" t="n">
        <v>24</v>
      </c>
      <c r="AC107" s="6" t="n">
        <v>0.5</v>
      </c>
      <c r="AD107" s="6"/>
      <c r="AE107" s="6" t="n">
        <v>32</v>
      </c>
      <c r="AF107" s="7" t="n">
        <f aca="false">IF(AND(ISNUMBER(G107),ISNUMBER(AE107)),IF(AE107&gt;0,G107/AE107,"N/A"),"N/A")</f>
        <v>625000</v>
      </c>
      <c r="AG107" s="6" t="s">
        <v>283</v>
      </c>
      <c r="AH107" s="6" t="s">
        <v>77</v>
      </c>
      <c r="AI107" s="3" t="s">
        <v>370</v>
      </c>
      <c r="AJ107" s="6"/>
    </row>
    <row r="108" customFormat="false" ht="38.25" hidden="true" customHeight="true" outlineLevel="0" collapsed="false">
      <c r="A108" s="6" t="s">
        <v>371</v>
      </c>
      <c r="B108" s="6" t="s">
        <v>372</v>
      </c>
      <c r="C108" s="3" t="s">
        <v>125</v>
      </c>
      <c r="D108" s="6"/>
      <c r="E108" s="6"/>
      <c r="F108" s="6"/>
      <c r="G108" s="6" t="n">
        <v>0</v>
      </c>
      <c r="H108" s="6" t="n">
        <v>210</v>
      </c>
      <c r="I108" s="6" t="n">
        <v>3</v>
      </c>
      <c r="J108" s="6" t="n">
        <v>0.14</v>
      </c>
      <c r="K108" s="6"/>
      <c r="L108" s="6" t="n">
        <v>870</v>
      </c>
      <c r="M108" s="6" t="n">
        <v>870</v>
      </c>
      <c r="N108" s="6"/>
      <c r="O108" s="6"/>
      <c r="P108" s="6"/>
      <c r="Q108" s="7" t="str">
        <f aca="false">IF(AND(ISNUMBER(N108),ISNUMBER(J108),ISNUMBER(O108)),IF(AND(N108&gt;0,J108&gt;0,O108&gt;0),N108/J108*O108,"N/A"),"N/A")</f>
        <v>N/A</v>
      </c>
      <c r="R108" s="8" t="str">
        <f aca="false">IF(ISNUMBER(Q108),ROUND(1+9*PERCENTRANK($Q$2:$Q$140,Q108),1),"N/A")</f>
        <v>N/A</v>
      </c>
      <c r="S108" s="6"/>
      <c r="T108" s="6" t="n">
        <v>2000</v>
      </c>
      <c r="U108" s="6"/>
      <c r="V108" s="6" t="s">
        <v>70</v>
      </c>
      <c r="W108" s="6" t="s">
        <v>70</v>
      </c>
      <c r="X108" s="6" t="n">
        <v>1600</v>
      </c>
      <c r="Y108" s="6" t="n">
        <v>500</v>
      </c>
      <c r="Z108" s="6" t="n">
        <v>0</v>
      </c>
      <c r="AA108" s="6" t="n">
        <v>2</v>
      </c>
      <c r="AB108" s="6"/>
      <c r="AC108" s="6"/>
      <c r="AD108" s="6"/>
      <c r="AE108" s="6" t="n">
        <v>3E-006</v>
      </c>
      <c r="AF108" s="7" t="n">
        <f aca="false">IF(AND(ISNUMBER(G108),ISNUMBER(AE108)),IF(AE108&gt;0,G108/AE108,"N/A"),"N/A")</f>
        <v>0</v>
      </c>
      <c r="AG108" s="6" t="s">
        <v>126</v>
      </c>
      <c r="AH108" s="6" t="s">
        <v>63</v>
      </c>
      <c r="AI108" s="3" t="s">
        <v>373</v>
      </c>
      <c r="AJ108" s="6"/>
    </row>
    <row r="109" customFormat="false" ht="25.5" hidden="true" customHeight="true" outlineLevel="0" collapsed="false">
      <c r="A109" s="6" t="s">
        <v>371</v>
      </c>
      <c r="B109" s="6" t="s">
        <v>135</v>
      </c>
      <c r="C109" s="3" t="s">
        <v>125</v>
      </c>
      <c r="D109" s="6"/>
      <c r="E109" s="6"/>
      <c r="F109" s="6"/>
      <c r="G109" s="6" t="n">
        <v>0.01</v>
      </c>
      <c r="H109" s="6" t="n">
        <v>400</v>
      </c>
      <c r="I109" s="6" t="n">
        <v>4</v>
      </c>
      <c r="J109" s="6" t="n">
        <v>0.27</v>
      </c>
      <c r="K109" s="6"/>
      <c r="L109" s="6" t="n">
        <v>1100</v>
      </c>
      <c r="M109" s="6"/>
      <c r="N109" s="6"/>
      <c r="O109" s="6"/>
      <c r="P109" s="6"/>
      <c r="Q109" s="7" t="str">
        <f aca="false">IF(AND(ISNUMBER(N109),ISNUMBER(J109),ISNUMBER(O109)),IF(AND(N109&gt;0,J109&gt;0,O109&gt;0),N109/J109*O109,"N/A"),"N/A")</f>
        <v>N/A</v>
      </c>
      <c r="R109" s="8" t="str">
        <f aca="false">IF(ISNUMBER(Q109),ROUND(1+9*PERCENTRANK($Q$2:$Q$140,Q109),1),"N/A")</f>
        <v>N/A</v>
      </c>
      <c r="S109" s="6"/>
      <c r="T109" s="6" t="n">
        <v>2000</v>
      </c>
      <c r="U109" s="6"/>
      <c r="V109" s="6" t="s">
        <v>70</v>
      </c>
      <c r="W109" s="6" t="s">
        <v>70</v>
      </c>
      <c r="X109" s="6" t="n">
        <v>700</v>
      </c>
      <c r="Y109" s="6" t="n">
        <v>200</v>
      </c>
      <c r="Z109" s="6" t="n">
        <v>0</v>
      </c>
      <c r="AA109" s="6" t="n">
        <v>5</v>
      </c>
      <c r="AB109" s="6"/>
      <c r="AC109" s="6"/>
      <c r="AD109" s="6"/>
      <c r="AE109" s="6" t="n">
        <v>3E-005</v>
      </c>
      <c r="AF109" s="7" t="n">
        <f aca="false">IF(AND(ISNUMBER(G109),ISNUMBER(AE109)),IF(AE109&gt;0,G109/AE109,"N/A"),"N/A")</f>
        <v>333.333333333333</v>
      </c>
      <c r="AG109" s="6" t="s">
        <v>126</v>
      </c>
      <c r="AH109" s="6" t="s">
        <v>63</v>
      </c>
      <c r="AI109" s="3" t="s">
        <v>374</v>
      </c>
      <c r="AJ109" s="3" t="s">
        <v>319</v>
      </c>
    </row>
    <row r="110" customFormat="false" ht="25.5" hidden="true" customHeight="true" outlineLevel="0" collapsed="false">
      <c r="A110" s="6" t="s">
        <v>371</v>
      </c>
      <c r="B110" s="6" t="s">
        <v>327</v>
      </c>
      <c r="C110" s="3" t="s">
        <v>125</v>
      </c>
      <c r="D110" s="6"/>
      <c r="E110" s="6"/>
      <c r="F110" s="6"/>
      <c r="G110" s="6" t="n">
        <v>0</v>
      </c>
      <c r="H110" s="6" t="n">
        <v>625</v>
      </c>
      <c r="I110" s="6" t="n">
        <v>5</v>
      </c>
      <c r="J110" s="6" t="n">
        <v>0.4</v>
      </c>
      <c r="K110" s="6"/>
      <c r="L110" s="6" t="n">
        <v>790</v>
      </c>
      <c r="M110" s="6"/>
      <c r="N110" s="6"/>
      <c r="O110" s="6"/>
      <c r="P110" s="6"/>
      <c r="Q110" s="7" t="str">
        <f aca="false">IF(AND(ISNUMBER(N110),ISNUMBER(J110),ISNUMBER(O110)),IF(AND(N110&gt;0,J110&gt;0,O110&gt;0),N110/J110*O110,"N/A"),"N/A")</f>
        <v>N/A</v>
      </c>
      <c r="R110" s="8" t="str">
        <f aca="false">IF(ISNUMBER(Q110),ROUND(1+9*PERCENTRANK($Q$2:$Q$140,Q110),1),"N/A")</f>
        <v>N/A</v>
      </c>
      <c r="S110" s="6"/>
      <c r="T110" s="6" t="n">
        <v>2000</v>
      </c>
      <c r="U110" s="6"/>
      <c r="V110" s="6" t="s">
        <v>70</v>
      </c>
      <c r="W110" s="6" t="n">
        <v>100</v>
      </c>
      <c r="X110" s="6" t="n">
        <v>800</v>
      </c>
      <c r="Y110" s="6" t="n">
        <v>300</v>
      </c>
      <c r="Z110" s="6" t="n">
        <v>0</v>
      </c>
      <c r="AA110" s="6" t="n">
        <v>3</v>
      </c>
      <c r="AB110" s="6"/>
      <c r="AC110" s="6"/>
      <c r="AD110" s="6"/>
      <c r="AE110" s="6" t="n">
        <v>6E-005</v>
      </c>
      <c r="AF110" s="7" t="n">
        <f aca="false">IF(AND(ISNUMBER(G110),ISNUMBER(AE110)),IF(AE110&gt;0,G110/AE110,"N/A"),"N/A")</f>
        <v>0</v>
      </c>
      <c r="AG110" s="6" t="s">
        <v>131</v>
      </c>
      <c r="AH110" s="6" t="s">
        <v>63</v>
      </c>
      <c r="AI110" s="3" t="s">
        <v>375</v>
      </c>
      <c r="AJ110" s="6"/>
    </row>
    <row r="111" customFormat="false" ht="51" hidden="true" customHeight="true" outlineLevel="0" collapsed="false">
      <c r="A111" s="6" t="s">
        <v>376</v>
      </c>
      <c r="B111" s="6" t="s">
        <v>327</v>
      </c>
      <c r="C111" s="3" t="s">
        <v>125</v>
      </c>
      <c r="D111" s="6"/>
      <c r="E111" s="6"/>
      <c r="F111" s="6"/>
      <c r="G111" s="6" t="n">
        <v>0.1</v>
      </c>
      <c r="H111" s="6" t="n">
        <v>500</v>
      </c>
      <c r="I111" s="6" t="n">
        <v>4</v>
      </c>
      <c r="J111" s="6" t="n">
        <v>0.5</v>
      </c>
      <c r="K111" s="6"/>
      <c r="L111" s="6" t="n">
        <v>825</v>
      </c>
      <c r="M111" s="6" t="n">
        <v>825</v>
      </c>
      <c r="N111" s="6"/>
      <c r="O111" s="6"/>
      <c r="P111" s="6"/>
      <c r="Q111" s="7" t="str">
        <f aca="false">IF(AND(ISNUMBER(N111),ISNUMBER(J111),ISNUMBER(O111)),IF(AND(N111&gt;0,J111&gt;0,O111&gt;0),N111/J111*O111,"N/A"),"N/A")</f>
        <v>N/A</v>
      </c>
      <c r="R111" s="8" t="str">
        <f aca="false">IF(ISNUMBER(Q111),ROUND(1+9*PERCENTRANK($Q$2:$Q$140,Q111),1),"N/A")</f>
        <v>N/A</v>
      </c>
      <c r="S111" s="6"/>
      <c r="T111" s="6" t="n">
        <v>2000</v>
      </c>
      <c r="U111" s="6"/>
      <c r="V111" s="6" t="s">
        <v>70</v>
      </c>
      <c r="W111" s="6" t="n">
        <v>200</v>
      </c>
      <c r="X111" s="6" t="n">
        <v>800</v>
      </c>
      <c r="Y111" s="6" t="n">
        <v>400</v>
      </c>
      <c r="Z111" s="6" t="n">
        <v>0</v>
      </c>
      <c r="AA111" s="6" t="n">
        <v>1</v>
      </c>
      <c r="AB111" s="6"/>
      <c r="AC111" s="6"/>
      <c r="AD111" s="6"/>
      <c r="AE111" s="6" t="n">
        <v>6E-005</v>
      </c>
      <c r="AF111" s="7" t="n">
        <f aca="false">IF(AND(ISNUMBER(G111),ISNUMBER(AE111)),IF(AE111&gt;0,G111/AE111,"N/A"),"N/A")</f>
        <v>1666.66666666667</v>
      </c>
      <c r="AG111" s="6" t="s">
        <v>131</v>
      </c>
      <c r="AH111" s="6" t="s">
        <v>63</v>
      </c>
      <c r="AI111" s="3" t="s">
        <v>377</v>
      </c>
      <c r="AJ111" s="6"/>
    </row>
    <row r="112" customFormat="false" ht="25.5" hidden="true" customHeight="true" outlineLevel="0" collapsed="false">
      <c r="A112" s="6" t="s">
        <v>378</v>
      </c>
      <c r="B112" s="6" t="s">
        <v>78</v>
      </c>
      <c r="C112" s="3" t="s">
        <v>73</v>
      </c>
      <c r="D112" s="6" t="s">
        <v>74</v>
      </c>
      <c r="E112" s="6"/>
      <c r="F112" s="6" t="s">
        <v>75</v>
      </c>
      <c r="G112" s="6" t="n">
        <v>0</v>
      </c>
      <c r="H112" s="6" t="n">
        <v>0</v>
      </c>
      <c r="I112" s="6" t="n">
        <v>4</v>
      </c>
      <c r="J112" s="6" t="n">
        <v>400</v>
      </c>
      <c r="K112" s="6" t="s">
        <v>79</v>
      </c>
      <c r="L112" s="6"/>
      <c r="M112" s="6"/>
      <c r="N112" s="6"/>
      <c r="O112" s="6"/>
      <c r="P112" s="6"/>
      <c r="Q112" s="7" t="str">
        <f aca="false">IF(AND(ISNUMBER(N112),ISNUMBER(J112),ISNUMBER(O112)),IF(AND(N112&gt;0,J112&gt;0,O112&gt;0),N112/J112*O112,"N/A"),"N/A")</f>
        <v>N/A</v>
      </c>
      <c r="R112" s="8" t="str">
        <f aca="false">IF(ISNUMBER(Q112),ROUND(1+9*PERCENTRANK($Q$2:$Q$140,Q112),1),"N/A")</f>
        <v>N/A</v>
      </c>
      <c r="S112" s="6"/>
      <c r="T112" s="6" t="n">
        <v>5000</v>
      </c>
      <c r="U112" s="6"/>
      <c r="V112" s="6" t="n">
        <v>100</v>
      </c>
      <c r="W112" s="6" t="n">
        <v>30</v>
      </c>
      <c r="X112" s="6"/>
      <c r="Y112" s="6"/>
      <c r="Z112" s="6"/>
      <c r="AA112" s="6"/>
      <c r="AB112" s="6"/>
      <c r="AC112" s="6"/>
      <c r="AD112" s="6"/>
      <c r="AE112" s="6" t="n">
        <v>0.36</v>
      </c>
      <c r="AF112" s="7" t="n">
        <f aca="false">IF(AND(ISNUMBER(G112),ISNUMBER(AE112)),IF(AE112&gt;0,G112/AE112,"N/A"),"N/A")</f>
        <v>0</v>
      </c>
      <c r="AG112" s="6" t="s">
        <v>76</v>
      </c>
      <c r="AH112" s="6" t="s">
        <v>63</v>
      </c>
      <c r="AI112" s="3" t="s">
        <v>80</v>
      </c>
      <c r="AJ112" s="6" t="s">
        <v>379</v>
      </c>
    </row>
    <row r="113" customFormat="false" ht="38.25" hidden="true" customHeight="true" outlineLevel="0" collapsed="false">
      <c r="A113" s="6" t="s">
        <v>378</v>
      </c>
      <c r="B113" s="6" t="s">
        <v>380</v>
      </c>
      <c r="C113" s="6" t="s">
        <v>107</v>
      </c>
      <c r="D113" s="6" t="s">
        <v>59</v>
      </c>
      <c r="E113" s="6" t="s">
        <v>114</v>
      </c>
      <c r="F113" s="3" t="s">
        <v>68</v>
      </c>
      <c r="G113" s="6" t="n">
        <v>3000</v>
      </c>
      <c r="H113" s="6" t="n">
        <v>600</v>
      </c>
      <c r="I113" s="6" t="n">
        <v>7</v>
      </c>
      <c r="J113" s="6" t="n">
        <v>3250</v>
      </c>
      <c r="K113" s="6" t="s">
        <v>381</v>
      </c>
      <c r="L113" s="6"/>
      <c r="M113" s="6"/>
      <c r="N113" s="6"/>
      <c r="O113" s="6"/>
      <c r="P113" s="6"/>
      <c r="Q113" s="7" t="str">
        <f aca="false">IF(AND(ISNUMBER(N113),ISNUMBER(J113),ISNUMBER(O113)),IF(AND(N113&gt;0,J113&gt;0,O113&gt;0),N113/J113*O113,"N/A"),"N/A")</f>
        <v>N/A</v>
      </c>
      <c r="R113" s="8" t="str">
        <f aca="false">IF(ISNUMBER(Q113),ROUND(1+9*PERCENTRANK($Q$2:$Q$140,Q113),1),"N/A")</f>
        <v>N/A</v>
      </c>
      <c r="S113" s="6" t="n">
        <v>1000</v>
      </c>
      <c r="T113" s="6" t="n">
        <v>10000</v>
      </c>
      <c r="U113" s="6"/>
      <c r="V113" s="6" t="s">
        <v>70</v>
      </c>
      <c r="W113" s="6" t="n">
        <v>30</v>
      </c>
      <c r="X113" s="6"/>
      <c r="Y113" s="6"/>
      <c r="Z113" s="6"/>
      <c r="AA113" s="6"/>
      <c r="AB113" s="6"/>
      <c r="AC113" s="6"/>
      <c r="AD113" s="6" t="n">
        <v>12</v>
      </c>
      <c r="AE113" s="6" t="n">
        <v>0.7</v>
      </c>
      <c r="AF113" s="7" t="n">
        <f aca="false">IF(AND(ISNUMBER(G113),ISNUMBER(AE113)),IF(AE113&gt;0,G113/AE113,"N/A"),"N/A")</f>
        <v>4285.71428571429</v>
      </c>
      <c r="AG113" s="6" t="s">
        <v>111</v>
      </c>
      <c r="AH113" s="6" t="s">
        <v>77</v>
      </c>
      <c r="AI113" s="3" t="s">
        <v>382</v>
      </c>
      <c r="AJ113" s="6"/>
    </row>
    <row r="114" customFormat="false" ht="38.25" hidden="true" customHeight="true" outlineLevel="0" collapsed="false">
      <c r="A114" s="6" t="s">
        <v>378</v>
      </c>
      <c r="B114" s="6" t="s">
        <v>383</v>
      </c>
      <c r="C114" s="6" t="s">
        <v>107</v>
      </c>
      <c r="D114" s="6" t="s">
        <v>59</v>
      </c>
      <c r="E114" s="6" t="s">
        <v>384</v>
      </c>
      <c r="F114" s="3" t="s">
        <v>68</v>
      </c>
      <c r="G114" s="6" t="n">
        <v>400</v>
      </c>
      <c r="H114" s="6" t="n">
        <v>475</v>
      </c>
      <c r="I114" s="6" t="n">
        <v>8</v>
      </c>
      <c r="J114" s="6" t="n">
        <v>500</v>
      </c>
      <c r="K114" s="6" t="s">
        <v>385</v>
      </c>
      <c r="L114" s="6"/>
      <c r="M114" s="6"/>
      <c r="N114" s="6"/>
      <c r="O114" s="6"/>
      <c r="P114" s="6"/>
      <c r="Q114" s="7" t="str">
        <f aca="false">IF(AND(ISNUMBER(N114),ISNUMBER(J114),ISNUMBER(O114)),IF(AND(N114&gt;0,J114&gt;0,O114&gt;0),N114/J114*O114,"N/A"),"N/A")</f>
        <v>N/A</v>
      </c>
      <c r="R114" s="8" t="str">
        <f aca="false">IF(ISNUMBER(Q114),ROUND(1+9*PERCENTRANK($Q$2:$Q$140,Q114),1),"N/A")</f>
        <v>N/A</v>
      </c>
      <c r="S114" s="6" t="n">
        <v>1000</v>
      </c>
      <c r="T114" s="6" t="n">
        <v>10000</v>
      </c>
      <c r="U114" s="6"/>
      <c r="V114" s="6" t="n">
        <v>100</v>
      </c>
      <c r="W114" s="6" t="n">
        <v>30</v>
      </c>
      <c r="X114" s="6"/>
      <c r="Y114" s="6"/>
      <c r="Z114" s="6"/>
      <c r="AA114" s="6"/>
      <c r="AB114" s="6"/>
      <c r="AC114" s="6"/>
      <c r="AD114" s="6"/>
      <c r="AE114" s="6" t="n">
        <v>0.5</v>
      </c>
      <c r="AF114" s="7" t="n">
        <f aca="false">IF(AND(ISNUMBER(G114),ISNUMBER(AE114)),IF(AE114&gt;0,G114/AE114,"N/A"),"N/A")</f>
        <v>800</v>
      </c>
      <c r="AG114" s="6" t="s">
        <v>111</v>
      </c>
      <c r="AH114" s="6" t="s">
        <v>63</v>
      </c>
      <c r="AI114" s="3" t="s">
        <v>386</v>
      </c>
      <c r="AJ114" s="6"/>
    </row>
    <row r="115" customFormat="false" ht="63.75" hidden="true" customHeight="true" outlineLevel="0" collapsed="false">
      <c r="A115" s="6" t="s">
        <v>378</v>
      </c>
      <c r="B115" s="6" t="s">
        <v>387</v>
      </c>
      <c r="C115" s="3" t="s">
        <v>120</v>
      </c>
      <c r="D115" s="6"/>
      <c r="E115" s="6"/>
      <c r="F115" s="6"/>
      <c r="G115" s="6"/>
      <c r="H115" s="6"/>
      <c r="I115" s="6" t="n">
        <v>10</v>
      </c>
      <c r="J115" s="6" t="n">
        <v>0</v>
      </c>
      <c r="K115" s="6"/>
      <c r="L115" s="6" t="n">
        <v>300000000</v>
      </c>
      <c r="M115" s="6" t="n">
        <v>300000000</v>
      </c>
      <c r="N115" s="6"/>
      <c r="O115" s="6"/>
      <c r="P115" s="6"/>
      <c r="Q115" s="7" t="str">
        <f aca="false">IF(AND(ISNUMBER(N115),ISNUMBER(J115),ISNUMBER(O115)),IF(AND(N115&gt;0,J115&gt;0,O115&gt;0),N115/J115*O115,"N/A"),"N/A")</f>
        <v>N/A</v>
      </c>
      <c r="R115" s="8" t="str">
        <f aca="false">IF(ISNUMBER(Q115),ROUND(1+9*PERCENTRANK($Q$2:$Q$140,Q115),1),"N/A")</f>
        <v>N/A</v>
      </c>
      <c r="S115" s="6"/>
      <c r="T115" s="6" t="n">
        <v>30000</v>
      </c>
      <c r="U115" s="6"/>
      <c r="V115" s="6" t="s">
        <v>70</v>
      </c>
      <c r="W115" s="6" t="s">
        <v>70</v>
      </c>
      <c r="X115" s="6"/>
      <c r="Y115" s="6"/>
      <c r="Z115" s="6"/>
      <c r="AA115" s="6"/>
      <c r="AB115" s="6"/>
      <c r="AC115" s="6"/>
      <c r="AD115" s="6"/>
      <c r="AE115" s="6" t="n">
        <v>0</v>
      </c>
      <c r="AF115" s="7" t="str">
        <f aca="false">IF(AND(ISNUMBER(G115),ISNUMBER(AE115)),IF(AE115&gt;0,G115/AE115,"N/A"),"N/A")</f>
        <v>N/A</v>
      </c>
      <c r="AG115" s="6" t="s">
        <v>121</v>
      </c>
      <c r="AH115" s="6" t="s">
        <v>122</v>
      </c>
      <c r="AI115" s="3" t="s">
        <v>388</v>
      </c>
      <c r="AJ115" s="6" t="s">
        <v>389</v>
      </c>
    </row>
    <row r="116" customFormat="false" ht="25.5" hidden="true" customHeight="true" outlineLevel="0" collapsed="false">
      <c r="A116" s="6" t="s">
        <v>378</v>
      </c>
      <c r="B116" s="6" t="s">
        <v>327</v>
      </c>
      <c r="C116" s="3" t="s">
        <v>125</v>
      </c>
      <c r="D116" s="6"/>
      <c r="E116" s="6"/>
      <c r="F116" s="6"/>
      <c r="G116" s="6" t="n">
        <v>0</v>
      </c>
      <c r="H116" s="6" t="n">
        <v>625</v>
      </c>
      <c r="I116" s="6" t="n">
        <v>5</v>
      </c>
      <c r="J116" s="6" t="n">
        <v>0.4</v>
      </c>
      <c r="K116" s="6"/>
      <c r="L116" s="6" t="n">
        <v>790</v>
      </c>
      <c r="M116" s="6"/>
      <c r="N116" s="6"/>
      <c r="O116" s="6"/>
      <c r="P116" s="6"/>
      <c r="Q116" s="7" t="str">
        <f aca="false">IF(AND(ISNUMBER(N116),ISNUMBER(J116),ISNUMBER(O116)),IF(AND(N116&gt;0,J116&gt;0,O116&gt;0),N116/J116*O116,"N/A"),"N/A")</f>
        <v>N/A</v>
      </c>
      <c r="R116" s="8" t="str">
        <f aca="false">IF(ISNUMBER(Q116),ROUND(1+9*PERCENTRANK($Q$2:$Q$140,Q116),1),"N/A")</f>
        <v>N/A</v>
      </c>
      <c r="S116" s="6"/>
      <c r="T116" s="6" t="n">
        <v>2000</v>
      </c>
      <c r="U116" s="6"/>
      <c r="V116" s="6" t="s">
        <v>70</v>
      </c>
      <c r="W116" s="6" t="n">
        <v>100</v>
      </c>
      <c r="X116" s="6" t="n">
        <v>800</v>
      </c>
      <c r="Y116" s="6" t="n">
        <v>300</v>
      </c>
      <c r="Z116" s="6" t="n">
        <v>0</v>
      </c>
      <c r="AA116" s="6" t="n">
        <v>3</v>
      </c>
      <c r="AB116" s="6"/>
      <c r="AC116" s="6"/>
      <c r="AD116" s="6"/>
      <c r="AE116" s="6" t="n">
        <v>6E-005</v>
      </c>
      <c r="AF116" s="7" t="n">
        <f aca="false">IF(AND(ISNUMBER(G116),ISNUMBER(AE116)),IF(AE116&gt;0,G116/AE116,"N/A"),"N/A")</f>
        <v>0</v>
      </c>
      <c r="AG116" s="6" t="s">
        <v>131</v>
      </c>
      <c r="AH116" s="6" t="s">
        <v>63</v>
      </c>
      <c r="AI116" s="3" t="s">
        <v>375</v>
      </c>
      <c r="AJ116" s="6"/>
    </row>
    <row r="117" customFormat="false" ht="51" hidden="true" customHeight="true" outlineLevel="0" collapsed="false">
      <c r="A117" s="6" t="s">
        <v>378</v>
      </c>
      <c r="B117" s="6" t="s">
        <v>390</v>
      </c>
      <c r="C117" s="6" t="s">
        <v>391</v>
      </c>
      <c r="D117" s="6"/>
      <c r="E117" s="6"/>
      <c r="F117" s="6"/>
      <c r="G117" s="6"/>
      <c r="H117" s="6" t="n">
        <v>350</v>
      </c>
      <c r="I117" s="6" t="n">
        <v>7</v>
      </c>
      <c r="J117" s="6" t="n">
        <v>25</v>
      </c>
      <c r="K117" s="6"/>
      <c r="L117" s="6"/>
      <c r="M117" s="6"/>
      <c r="N117" s="6"/>
      <c r="O117" s="6"/>
      <c r="P117" s="6"/>
      <c r="Q117" s="7" t="str">
        <f aca="false">IF(AND(ISNUMBER(N117),ISNUMBER(J117),ISNUMBER(O117)),IF(AND(N117&gt;0,J117&gt;0,O117&gt;0),N117/J117*O117,"N/A"),"N/A")</f>
        <v>N/A</v>
      </c>
      <c r="R117" s="8" t="str">
        <f aca="false">IF(ISNUMBER(Q117),ROUND(1+9*PERCENTRANK($Q$2:$Q$140,Q117),1),"N/A")</f>
        <v>N/A</v>
      </c>
      <c r="S117" s="6" t="n">
        <v>1000</v>
      </c>
      <c r="T117" s="6" t="n">
        <v>10000</v>
      </c>
      <c r="U117" s="6"/>
      <c r="V117" s="6" t="s">
        <v>70</v>
      </c>
      <c r="W117" s="6" t="n">
        <v>30</v>
      </c>
      <c r="X117" s="6"/>
      <c r="Y117" s="6"/>
      <c r="Z117" s="6"/>
      <c r="AA117" s="6"/>
      <c r="AB117" s="6"/>
      <c r="AC117" s="6"/>
      <c r="AD117" s="6"/>
      <c r="AE117" s="6" t="n">
        <v>0.03</v>
      </c>
      <c r="AF117" s="7" t="str">
        <f aca="false">IF(AND(ISNUMBER(G117),ISNUMBER(AE117)),IF(AE117&gt;0,G117/AE117,"N/A"),"N/A")</f>
        <v>N/A</v>
      </c>
      <c r="AG117" s="6"/>
      <c r="AH117" s="6" t="s">
        <v>63</v>
      </c>
      <c r="AI117" s="3" t="s">
        <v>392</v>
      </c>
      <c r="AJ117" s="6"/>
    </row>
    <row r="118" customFormat="false" ht="76.5" hidden="false" customHeight="true" outlineLevel="0" collapsed="false">
      <c r="A118" s="6" t="s">
        <v>378</v>
      </c>
      <c r="B118" s="6" t="s">
        <v>393</v>
      </c>
      <c r="C118" s="6" t="s">
        <v>180</v>
      </c>
      <c r="D118" s="6" t="s">
        <v>204</v>
      </c>
      <c r="E118" s="3" t="s">
        <v>226</v>
      </c>
      <c r="F118" s="3" t="s">
        <v>227</v>
      </c>
      <c r="G118" s="6" t="n">
        <v>700</v>
      </c>
      <c r="H118" s="6" t="n">
        <v>600</v>
      </c>
      <c r="I118" s="6" t="n">
        <v>10</v>
      </c>
      <c r="J118" s="6" t="n">
        <v>2400</v>
      </c>
      <c r="K118" s="6" t="s">
        <v>394</v>
      </c>
      <c r="L118" s="6"/>
      <c r="M118" s="6"/>
      <c r="N118" s="6" t="n">
        <v>168000</v>
      </c>
      <c r="O118" s="6" t="n">
        <v>600</v>
      </c>
      <c r="P118" s="6" t="n">
        <v>450</v>
      </c>
      <c r="Q118" s="7" t="n">
        <f aca="false">IF(AND(ISNUMBER(N118),ISNUMBER(J118),ISNUMBER(O118)),IF(AND(N118&gt;0,J118&gt;0,O118&gt;0),N118/J118*O118,"N/A"),"N/A")</f>
        <v>42000</v>
      </c>
      <c r="R118" s="8" t="n">
        <f aca="false">IF(ISNUMBER(Q118),ROUND(1+9*PERCENTRANK($Q$2:$Q$140,Q118),1),"N/A")</f>
        <v>9.8</v>
      </c>
      <c r="S118" s="6" t="n">
        <v>5000</v>
      </c>
      <c r="T118" s="6" t="n">
        <v>250000</v>
      </c>
      <c r="U118" s="6"/>
      <c r="V118" s="6" t="n">
        <v>50</v>
      </c>
      <c r="W118" s="6" t="n">
        <v>30</v>
      </c>
      <c r="X118" s="6"/>
      <c r="Y118" s="6"/>
      <c r="Z118" s="6"/>
      <c r="AA118" s="6"/>
      <c r="AB118" s="6"/>
      <c r="AC118" s="6"/>
      <c r="AD118" s="6" t="n">
        <v>11</v>
      </c>
      <c r="AE118" s="6" t="n">
        <v>8</v>
      </c>
      <c r="AF118" s="7" t="n">
        <f aca="false">IF(AND(ISNUMBER(G118),ISNUMBER(AE118)),IF(AE118&gt;0,G118/AE118,"N/A"),"N/A")</f>
        <v>87.5</v>
      </c>
      <c r="AG118" s="6" t="s">
        <v>208</v>
      </c>
      <c r="AH118" s="6" t="s">
        <v>77</v>
      </c>
      <c r="AI118" s="3" t="s">
        <v>395</v>
      </c>
      <c r="AJ118" s="6"/>
    </row>
    <row r="119" customFormat="false" ht="63.75" hidden="false" customHeight="true" outlineLevel="0" collapsed="false">
      <c r="A119" s="6" t="s">
        <v>378</v>
      </c>
      <c r="B119" s="6" t="s">
        <v>396</v>
      </c>
      <c r="C119" s="6" t="s">
        <v>180</v>
      </c>
      <c r="D119" s="6" t="s">
        <v>59</v>
      </c>
      <c r="E119" s="3" t="s">
        <v>194</v>
      </c>
      <c r="F119" s="3" t="s">
        <v>397</v>
      </c>
      <c r="G119" s="6" t="n">
        <v>10</v>
      </c>
      <c r="H119" s="6" t="n">
        <v>1550</v>
      </c>
      <c r="I119" s="6" t="n">
        <v>7</v>
      </c>
      <c r="J119" s="6" t="n">
        <v>60</v>
      </c>
      <c r="K119" s="6" t="s">
        <v>398</v>
      </c>
      <c r="L119" s="6"/>
      <c r="M119" s="6"/>
      <c r="N119" s="6" t="n">
        <v>5250</v>
      </c>
      <c r="O119" s="6" t="n">
        <v>5</v>
      </c>
      <c r="P119" s="6" t="n">
        <v>20</v>
      </c>
      <c r="Q119" s="7" t="n">
        <f aca="false">IF(AND(ISNUMBER(N119),ISNUMBER(J119),ISNUMBER(O119)),IF(AND(N119&gt;0,J119&gt;0,O119&gt;0),N119/J119*O119,"N/A"),"N/A")</f>
        <v>437.5</v>
      </c>
      <c r="R119" s="8" t="n">
        <f aca="false">IF(ISNUMBER(Q119),ROUND(1+9*PERCENTRANK($Q$2:$Q$140,Q119),1),"N/A")</f>
        <v>1.9</v>
      </c>
      <c r="S119" s="6" t="n">
        <v>1000</v>
      </c>
      <c r="T119" s="6" t="n">
        <v>15000</v>
      </c>
      <c r="U119" s="6"/>
      <c r="V119" s="6" t="s">
        <v>70</v>
      </c>
      <c r="W119" s="6" t="n">
        <v>50</v>
      </c>
      <c r="X119" s="6"/>
      <c r="Y119" s="6"/>
      <c r="Z119" s="6"/>
      <c r="AA119" s="6"/>
      <c r="AB119" s="6"/>
      <c r="AC119" s="6"/>
      <c r="AD119" s="6" t="n">
        <v>20</v>
      </c>
      <c r="AE119" s="6" t="n">
        <v>0.145</v>
      </c>
      <c r="AF119" s="7" t="n">
        <f aca="false">IF(AND(ISNUMBER(G119),ISNUMBER(AE119)),IF(AE119&gt;0,G119/AE119,"N/A"),"N/A")</f>
        <v>68.9655172413793</v>
      </c>
      <c r="AG119" s="6" t="s">
        <v>185</v>
      </c>
      <c r="AH119" s="6" t="s">
        <v>63</v>
      </c>
      <c r="AI119" s="3" t="s">
        <v>399</v>
      </c>
      <c r="AJ119" s="6"/>
    </row>
    <row r="120" customFormat="false" ht="25.5" hidden="false" customHeight="true" outlineLevel="0" collapsed="false">
      <c r="A120" s="6" t="s">
        <v>378</v>
      </c>
      <c r="B120" s="6" t="s">
        <v>400</v>
      </c>
      <c r="C120" s="6" t="s">
        <v>180</v>
      </c>
      <c r="D120" s="6" t="s">
        <v>204</v>
      </c>
      <c r="E120" s="3" t="s">
        <v>401</v>
      </c>
      <c r="F120" s="3" t="s">
        <v>402</v>
      </c>
      <c r="G120" s="6" t="n">
        <v>50</v>
      </c>
      <c r="H120" s="6" t="n">
        <v>0</v>
      </c>
      <c r="I120" s="6" t="n">
        <v>7</v>
      </c>
      <c r="J120" s="6" t="n">
        <v>125</v>
      </c>
      <c r="K120" s="6" t="s">
        <v>403</v>
      </c>
      <c r="L120" s="6"/>
      <c r="M120" s="6"/>
      <c r="N120" s="6" t="n">
        <v>1200</v>
      </c>
      <c r="O120" s="6" t="n">
        <v>120</v>
      </c>
      <c r="P120" s="6" t="n">
        <v>60</v>
      </c>
      <c r="Q120" s="7" t="n">
        <f aca="false">IF(AND(ISNUMBER(N120),ISNUMBER(J120),ISNUMBER(O120)),IF(AND(N120&gt;0,J120&gt;0,O120&gt;0),N120/J120*O120,"N/A"),"N/A")</f>
        <v>1152</v>
      </c>
      <c r="R120" s="8" t="n">
        <f aca="false">IF(ISNUMBER(Q120),ROUND(1+9*PERCENTRANK($Q$2:$Q$140,Q120),1),"N/A")</f>
        <v>5.9</v>
      </c>
      <c r="S120" s="6" t="n">
        <v>1000</v>
      </c>
      <c r="T120" s="6" t="n">
        <v>30000</v>
      </c>
      <c r="U120" s="6"/>
      <c r="V120" s="6" t="s">
        <v>70</v>
      </c>
      <c r="W120" s="6" t="n">
        <v>30</v>
      </c>
      <c r="X120" s="6"/>
      <c r="Y120" s="6"/>
      <c r="Z120" s="6"/>
      <c r="AA120" s="6"/>
      <c r="AB120" s="6"/>
      <c r="AC120" s="6"/>
      <c r="AD120" s="6" t="n">
        <v>12</v>
      </c>
      <c r="AE120" s="6" t="n">
        <v>0.415</v>
      </c>
      <c r="AF120" s="7" t="n">
        <f aca="false">IF(AND(ISNUMBER(G120),ISNUMBER(AE120)),IF(AE120&gt;0,G120/AE120,"N/A"),"N/A")</f>
        <v>120.481927710843</v>
      </c>
      <c r="AG120" s="6" t="s">
        <v>208</v>
      </c>
      <c r="AH120" s="6" t="s">
        <v>63</v>
      </c>
      <c r="AI120" s="3" t="s">
        <v>404</v>
      </c>
      <c r="AJ120" s="6"/>
    </row>
    <row r="121" customFormat="false" ht="38.25" hidden="false" customHeight="true" outlineLevel="0" collapsed="false">
      <c r="A121" s="6" t="s">
        <v>378</v>
      </c>
      <c r="B121" s="6" t="s">
        <v>221</v>
      </c>
      <c r="C121" s="6" t="s">
        <v>180</v>
      </c>
      <c r="D121" s="6" t="s">
        <v>216</v>
      </c>
      <c r="E121" s="6" t="s">
        <v>222</v>
      </c>
      <c r="F121" s="6" t="s">
        <v>218</v>
      </c>
      <c r="G121" s="6" t="n">
        <v>32</v>
      </c>
      <c r="H121" s="6" t="n">
        <v>0</v>
      </c>
      <c r="I121" s="6" t="n">
        <v>4</v>
      </c>
      <c r="J121" s="6" t="n">
        <v>180</v>
      </c>
      <c r="K121" s="6" t="s">
        <v>223</v>
      </c>
      <c r="L121" s="6"/>
      <c r="M121" s="6" t="n">
        <v>1156.87</v>
      </c>
      <c r="N121" s="6" t="n">
        <v>22000</v>
      </c>
      <c r="O121" s="6" t="n">
        <v>9</v>
      </c>
      <c r="P121" s="6" t="n">
        <v>68</v>
      </c>
      <c r="Q121" s="7" t="n">
        <f aca="false">IF(AND(ISNUMBER(N121),ISNUMBER(J121),ISNUMBER(O121)),IF(AND(N121&gt;0,J121&gt;0,O121&gt;0),N121/J121*O121,"N/A"),"N/A")</f>
        <v>1100</v>
      </c>
      <c r="R121" s="8" t="n">
        <f aca="false">IF(ISNUMBER(Q121),ROUND(1+9*PERCENTRANK($Q$2:$Q$140,Q121),1),"N/A")</f>
        <v>5.1</v>
      </c>
      <c r="S121" s="6" t="n">
        <v>1000</v>
      </c>
      <c r="T121" s="6" t="n">
        <v>25000</v>
      </c>
      <c r="U121" s="6"/>
      <c r="V121" s="6" t="s">
        <v>70</v>
      </c>
      <c r="W121" s="6" t="n">
        <v>100</v>
      </c>
      <c r="X121" s="6"/>
      <c r="Y121" s="6"/>
      <c r="Z121" s="6"/>
      <c r="AA121" s="6"/>
      <c r="AB121" s="6"/>
      <c r="AC121" s="6"/>
      <c r="AD121" s="6" t="n">
        <v>8</v>
      </c>
      <c r="AE121" s="6" t="n">
        <v>0.39</v>
      </c>
      <c r="AF121" s="7" t="n">
        <f aca="false">IF(AND(ISNUMBER(G121),ISNUMBER(AE121)),IF(AE121&gt;0,G121/AE121,"N/A"),"N/A")</f>
        <v>82.051282051282</v>
      </c>
      <c r="AG121" s="6" t="s">
        <v>185</v>
      </c>
      <c r="AH121" s="6" t="s">
        <v>122</v>
      </c>
      <c r="AI121" s="3" t="s">
        <v>224</v>
      </c>
      <c r="AJ121" s="3" t="s">
        <v>319</v>
      </c>
    </row>
    <row r="122" customFormat="false" ht="76.5" hidden="false" customHeight="true" outlineLevel="0" collapsed="false">
      <c r="A122" s="6" t="s">
        <v>378</v>
      </c>
      <c r="B122" s="6" t="s">
        <v>405</v>
      </c>
      <c r="C122" s="6" t="s">
        <v>180</v>
      </c>
      <c r="D122" s="3" t="s">
        <v>406</v>
      </c>
      <c r="E122" s="3" t="s">
        <v>407</v>
      </c>
      <c r="F122" s="3" t="s">
        <v>408</v>
      </c>
      <c r="G122" s="6" t="n">
        <v>750</v>
      </c>
      <c r="H122" s="6" t="n">
        <v>3000</v>
      </c>
      <c r="I122" s="6" t="n">
        <v>9</v>
      </c>
      <c r="J122" s="6" t="n">
        <v>4000</v>
      </c>
      <c r="K122" s="6" t="s">
        <v>409</v>
      </c>
      <c r="L122" s="6"/>
      <c r="M122" s="6" t="n">
        <v>2000</v>
      </c>
      <c r="N122" s="6" t="n">
        <v>570000</v>
      </c>
      <c r="O122" s="6" t="n">
        <v>120</v>
      </c>
      <c r="P122" s="6" t="n">
        <v>2300</v>
      </c>
      <c r="Q122" s="7" t="n">
        <f aca="false">IF(AND(ISNUMBER(N122),ISNUMBER(J122),ISNUMBER(O122)),IF(AND(N122&gt;0,J122&gt;0,O122&gt;0),N122/J122*O122,"N/A"),"N/A")</f>
        <v>17100</v>
      </c>
      <c r="R122" s="8" t="n">
        <f aca="false">IF(ISNUMBER(Q122),ROUND(1+9*PERCENTRANK($Q$2:$Q$140,Q122),1),"N/A")</f>
        <v>9.4</v>
      </c>
      <c r="S122" s="6" t="n">
        <v>10000</v>
      </c>
      <c r="T122" s="6" t="n">
        <v>100000</v>
      </c>
      <c r="U122" s="6"/>
      <c r="V122" s="6" t="s">
        <v>70</v>
      </c>
      <c r="W122" s="6" t="n">
        <v>50</v>
      </c>
      <c r="X122" s="6"/>
      <c r="Y122" s="6"/>
      <c r="Z122" s="6"/>
      <c r="AA122" s="6"/>
      <c r="AB122" s="6" t="n">
        <v>1</v>
      </c>
      <c r="AC122" s="6" t="n">
        <v>1</v>
      </c>
      <c r="AD122" s="6" t="n">
        <v>30</v>
      </c>
      <c r="AE122" s="6" t="n">
        <v>65</v>
      </c>
      <c r="AF122" s="7" t="n">
        <f aca="false">IF(AND(ISNUMBER(G122),ISNUMBER(AE122)),IF(AE122&gt;0,G122/AE122,"N/A"),"N/A")</f>
        <v>11.5384615384615</v>
      </c>
      <c r="AG122" s="6" t="s">
        <v>185</v>
      </c>
      <c r="AH122" s="6" t="s">
        <v>77</v>
      </c>
      <c r="AI122" s="3" t="s">
        <v>410</v>
      </c>
      <c r="AJ122" s="6"/>
    </row>
    <row r="123" customFormat="false" ht="25.5" hidden="false" customHeight="true" outlineLevel="0" collapsed="false">
      <c r="A123" s="6" t="s">
        <v>378</v>
      </c>
      <c r="B123" s="6" t="s">
        <v>411</v>
      </c>
      <c r="C123" s="6" t="s">
        <v>180</v>
      </c>
      <c r="D123" s="6" t="s">
        <v>241</v>
      </c>
      <c r="E123" s="6"/>
      <c r="F123" s="3" t="s">
        <v>412</v>
      </c>
      <c r="G123" s="6" t="n">
        <v>7.5</v>
      </c>
      <c r="H123" s="6" t="n">
        <v>425</v>
      </c>
      <c r="I123" s="6" t="n">
        <v>3</v>
      </c>
      <c r="J123" s="6" t="n">
        <v>50</v>
      </c>
      <c r="K123" s="6" t="s">
        <v>413</v>
      </c>
      <c r="L123" s="6"/>
      <c r="M123" s="6"/>
      <c r="N123" s="6" t="n">
        <v>30000</v>
      </c>
      <c r="O123" s="6" t="n">
        <v>3.5</v>
      </c>
      <c r="P123" s="6" t="n">
        <v>20</v>
      </c>
      <c r="Q123" s="7" t="n">
        <f aca="false">IF(AND(ISNUMBER(N123),ISNUMBER(J123),ISNUMBER(O123)),IF(AND(N123&gt;0,J123&gt;0,O123&gt;0),N123/J123*O123,"N/A"),"N/A")</f>
        <v>2100</v>
      </c>
      <c r="R123" s="8" t="n">
        <f aca="false">IF(ISNUMBER(Q123),ROUND(1+9*PERCENTRANK($Q$2:$Q$140,Q123),1),"N/A")</f>
        <v>7.2</v>
      </c>
      <c r="S123" s="6" t="n">
        <v>500</v>
      </c>
      <c r="T123" s="6" t="n">
        <v>5000</v>
      </c>
      <c r="U123" s="6" t="n">
        <v>2</v>
      </c>
      <c r="V123" s="6" t="s">
        <v>70</v>
      </c>
      <c r="W123" s="6" t="n">
        <v>1000</v>
      </c>
      <c r="X123" s="6"/>
      <c r="Y123" s="6"/>
      <c r="Z123" s="6"/>
      <c r="AA123" s="6"/>
      <c r="AB123" s="6"/>
      <c r="AC123" s="6"/>
      <c r="AD123" s="6" t="n">
        <v>125</v>
      </c>
      <c r="AE123" s="6" t="n">
        <v>0.325</v>
      </c>
      <c r="AF123" s="7" t="n">
        <f aca="false">IF(AND(ISNUMBER(G123),ISNUMBER(AE123)),IF(AE123&gt;0,G123/AE123,"N/A"),"N/A")</f>
        <v>23.0769230769231</v>
      </c>
      <c r="AG123" s="6" t="s">
        <v>185</v>
      </c>
      <c r="AH123" s="6" t="s">
        <v>186</v>
      </c>
      <c r="AI123" s="3" t="s">
        <v>414</v>
      </c>
      <c r="AJ123" s="6"/>
    </row>
    <row r="124" customFormat="false" ht="25.5" hidden="false" customHeight="true" outlineLevel="0" collapsed="false">
      <c r="A124" s="6" t="s">
        <v>378</v>
      </c>
      <c r="B124" s="6" t="s">
        <v>415</v>
      </c>
      <c r="C124" s="6" t="s">
        <v>180</v>
      </c>
      <c r="D124" s="6" t="s">
        <v>241</v>
      </c>
      <c r="E124" s="6"/>
      <c r="F124" s="3" t="s">
        <v>416</v>
      </c>
      <c r="G124" s="6" t="n">
        <v>10</v>
      </c>
      <c r="H124" s="6" t="n">
        <v>450</v>
      </c>
      <c r="I124" s="6" t="n">
        <v>3</v>
      </c>
      <c r="J124" s="6" t="n">
        <v>80</v>
      </c>
      <c r="K124" s="6" t="s">
        <v>417</v>
      </c>
      <c r="L124" s="6"/>
      <c r="M124" s="6"/>
      <c r="N124" s="6" t="n">
        <v>22000</v>
      </c>
      <c r="O124" s="6" t="n">
        <v>7.5</v>
      </c>
      <c r="P124" s="6" t="n">
        <v>30</v>
      </c>
      <c r="Q124" s="7" t="n">
        <f aca="false">IF(AND(ISNUMBER(N124),ISNUMBER(J124),ISNUMBER(O124)),IF(AND(N124&gt;0,J124&gt;0,O124&gt;0),N124/J124*O124,"N/A"),"N/A")</f>
        <v>2062.5</v>
      </c>
      <c r="R124" s="8" t="n">
        <f aca="false">IF(ISNUMBER(Q124),ROUND(1+9*PERCENTRANK($Q$2:$Q$140,Q124),1),"N/A")</f>
        <v>7</v>
      </c>
      <c r="S124" s="6" t="n">
        <v>500</v>
      </c>
      <c r="T124" s="6" t="n">
        <v>20000</v>
      </c>
      <c r="U124" s="6" t="n">
        <v>2</v>
      </c>
      <c r="V124" s="6" t="s">
        <v>70</v>
      </c>
      <c r="W124" s="6" t="n">
        <v>1000</v>
      </c>
      <c r="X124" s="6"/>
      <c r="Y124" s="6"/>
      <c r="Z124" s="6"/>
      <c r="AA124" s="6"/>
      <c r="AB124" s="6"/>
      <c r="AC124" s="6"/>
      <c r="AD124" s="6" t="n">
        <v>40</v>
      </c>
      <c r="AE124" s="6" t="n">
        <v>0.5</v>
      </c>
      <c r="AF124" s="7" t="n">
        <f aca="false">IF(AND(ISNUMBER(G124),ISNUMBER(AE124)),IF(AE124&gt;0,G124/AE124,"N/A"),"N/A")</f>
        <v>20</v>
      </c>
      <c r="AG124" s="6" t="s">
        <v>185</v>
      </c>
      <c r="AH124" s="6" t="s">
        <v>186</v>
      </c>
      <c r="AI124" s="3" t="s">
        <v>418</v>
      </c>
      <c r="AJ124" s="6"/>
    </row>
    <row r="125" customFormat="false" ht="63.75" hidden="false" customHeight="true" outlineLevel="0" collapsed="false">
      <c r="A125" s="6" t="s">
        <v>378</v>
      </c>
      <c r="B125" s="6" t="s">
        <v>419</v>
      </c>
      <c r="C125" s="6" t="s">
        <v>180</v>
      </c>
      <c r="D125" s="3" t="s">
        <v>420</v>
      </c>
      <c r="E125" s="3" t="s">
        <v>421</v>
      </c>
      <c r="F125" s="3" t="s">
        <v>422</v>
      </c>
      <c r="G125" s="6" t="n">
        <v>50000</v>
      </c>
      <c r="H125" s="6" t="n">
        <v>10000</v>
      </c>
      <c r="I125" s="6" t="n">
        <v>9</v>
      </c>
      <c r="J125" s="6" t="n">
        <v>1000</v>
      </c>
      <c r="K125" s="6" t="s">
        <v>423</v>
      </c>
      <c r="L125" s="6"/>
      <c r="M125" s="6" t="n">
        <v>2000</v>
      </c>
      <c r="N125" s="6" t="n">
        <v>200000</v>
      </c>
      <c r="O125" s="6" t="n">
        <v>40</v>
      </c>
      <c r="P125" s="6" t="n">
        <v>400</v>
      </c>
      <c r="Q125" s="7" t="n">
        <f aca="false">IF(AND(ISNUMBER(N125),ISNUMBER(J125),ISNUMBER(O125)),IF(AND(N125&gt;0,J125&gt;0,O125&gt;0),N125/J125*O125,"N/A"),"N/A")</f>
        <v>8000</v>
      </c>
      <c r="R125" s="8" t="n">
        <f aca="false">IF(ISNUMBER(Q125),ROUND(1+9*PERCENTRANK($Q$2:$Q$140,Q125),1),"N/A")</f>
        <v>8.9</v>
      </c>
      <c r="S125" s="6" t="n">
        <v>2000</v>
      </c>
      <c r="T125" s="6" t="n">
        <v>100000</v>
      </c>
      <c r="U125" s="6" t="n">
        <v>900</v>
      </c>
      <c r="V125" s="6" t="n">
        <v>70000</v>
      </c>
      <c r="W125" s="6" t="s">
        <v>70</v>
      </c>
      <c r="X125" s="6"/>
      <c r="Y125" s="6"/>
      <c r="Z125" s="6"/>
      <c r="AA125" s="6"/>
      <c r="AB125" s="6" t="n">
        <v>4</v>
      </c>
      <c r="AC125" s="6" t="n">
        <v>1</v>
      </c>
      <c r="AD125" s="6" t="n">
        <v>30</v>
      </c>
      <c r="AE125" s="6" t="n">
        <v>7.5</v>
      </c>
      <c r="AF125" s="7" t="n">
        <f aca="false">IF(AND(ISNUMBER(G125),ISNUMBER(AE125)),IF(AE125&gt;0,G125/AE125,"N/A"),"N/A")</f>
        <v>6666.66666666667</v>
      </c>
      <c r="AG125" s="6" t="s">
        <v>185</v>
      </c>
      <c r="AH125" s="6" t="s">
        <v>176</v>
      </c>
      <c r="AI125" s="3" t="s">
        <v>424</v>
      </c>
      <c r="AJ125" s="6"/>
    </row>
    <row r="126" customFormat="false" ht="38.25" hidden="false" customHeight="true" outlineLevel="0" collapsed="false">
      <c r="A126" s="6" t="s">
        <v>378</v>
      </c>
      <c r="B126" s="6" t="s">
        <v>425</v>
      </c>
      <c r="C126" s="6" t="s">
        <v>275</v>
      </c>
      <c r="D126" s="3" t="s">
        <v>406</v>
      </c>
      <c r="E126" s="3" t="s">
        <v>407</v>
      </c>
      <c r="F126" s="3" t="s">
        <v>408</v>
      </c>
      <c r="G126" s="6" t="n">
        <v>20000000</v>
      </c>
      <c r="H126" s="6" t="n">
        <v>3000</v>
      </c>
      <c r="I126" s="6" t="n">
        <v>9</v>
      </c>
      <c r="J126" s="6" t="n">
        <v>4000</v>
      </c>
      <c r="K126" s="6" t="s">
        <v>409</v>
      </c>
      <c r="L126" s="6"/>
      <c r="M126" s="6"/>
      <c r="N126" s="6" t="n">
        <v>570000</v>
      </c>
      <c r="O126" s="6" t="n">
        <v>120</v>
      </c>
      <c r="P126" s="6" t="n">
        <v>2300</v>
      </c>
      <c r="Q126" s="7" t="n">
        <f aca="false">IF(AND(ISNUMBER(N126),ISNUMBER(J126),ISNUMBER(O126)),IF(AND(N126&gt;0,J126&gt;0,O126&gt;0),N126/J126*O126,"N/A"),"N/A")</f>
        <v>17100</v>
      </c>
      <c r="R126" s="8" t="n">
        <f aca="false">IF(ISNUMBER(Q126),ROUND(1+9*PERCENTRANK($Q$2:$Q$140,Q126),1),"N/A")</f>
        <v>9.4</v>
      </c>
      <c r="S126" s="6" t="n">
        <v>8000</v>
      </c>
      <c r="T126" s="6" t="n">
        <v>100000</v>
      </c>
      <c r="U126" s="6"/>
      <c r="V126" s="6" t="s">
        <v>70</v>
      </c>
      <c r="W126" s="6" t="n">
        <v>50</v>
      </c>
      <c r="X126" s="6"/>
      <c r="Y126" s="6"/>
      <c r="Z126" s="6"/>
      <c r="AA126" s="6"/>
      <c r="AB126" s="6" t="n">
        <v>1</v>
      </c>
      <c r="AC126" s="6" t="n">
        <v>1</v>
      </c>
      <c r="AD126" s="6" t="n">
        <v>30</v>
      </c>
      <c r="AE126" s="6" t="n">
        <v>80</v>
      </c>
      <c r="AF126" s="7" t="n">
        <f aca="false">IF(AND(ISNUMBER(G126),ISNUMBER(AE126)),IF(AE126&gt;0,G126/AE126,"N/A"),"N/A")</f>
        <v>250000</v>
      </c>
      <c r="AG126" s="6" t="s">
        <v>277</v>
      </c>
      <c r="AH126" s="6" t="s">
        <v>77</v>
      </c>
      <c r="AI126" s="3" t="s">
        <v>426</v>
      </c>
      <c r="AJ126" s="6"/>
    </row>
    <row r="127" customFormat="false" ht="51" hidden="false" customHeight="true" outlineLevel="0" collapsed="false">
      <c r="A127" s="6" t="s">
        <v>378</v>
      </c>
      <c r="B127" s="6" t="s">
        <v>427</v>
      </c>
      <c r="C127" s="6" t="s">
        <v>275</v>
      </c>
      <c r="D127" s="6" t="s">
        <v>59</v>
      </c>
      <c r="E127" s="3" t="s">
        <v>270</v>
      </c>
      <c r="F127" s="3" t="s">
        <v>271</v>
      </c>
      <c r="G127" s="6" t="n">
        <v>1500000</v>
      </c>
      <c r="H127" s="6" t="n">
        <v>1500</v>
      </c>
      <c r="I127" s="6" t="n">
        <v>7</v>
      </c>
      <c r="J127" s="6" t="n">
        <v>650</v>
      </c>
      <c r="K127" s="6" t="s">
        <v>272</v>
      </c>
      <c r="L127" s="6"/>
      <c r="M127" s="6"/>
      <c r="N127" s="6" t="n">
        <v>22000</v>
      </c>
      <c r="O127" s="6" t="n">
        <v>20</v>
      </c>
      <c r="P127" s="6" t="n">
        <v>300</v>
      </c>
      <c r="Q127" s="7" t="n">
        <f aca="false">IF(AND(ISNUMBER(N127),ISNUMBER(J127),ISNUMBER(O127)),IF(AND(N127&gt;0,J127&gt;0,O127&gt;0),N127/J127*O127,"N/A"),"N/A")</f>
        <v>676.923076923077</v>
      </c>
      <c r="R127" s="8" t="n">
        <f aca="false">IF(ISNUMBER(Q127),ROUND(1+9*PERCENTRANK($Q$2:$Q$140,Q127),1),"N/A")</f>
        <v>3.4</v>
      </c>
      <c r="S127" s="6" t="n">
        <v>3000</v>
      </c>
      <c r="T127" s="6" t="n">
        <v>60000</v>
      </c>
      <c r="U127" s="6"/>
      <c r="V127" s="6" t="s">
        <v>70</v>
      </c>
      <c r="W127" s="6" t="n">
        <v>50</v>
      </c>
      <c r="X127" s="6"/>
      <c r="Y127" s="6"/>
      <c r="Z127" s="6"/>
      <c r="AA127" s="6"/>
      <c r="AB127" s="6"/>
      <c r="AC127" s="6"/>
      <c r="AD127" s="6" t="n">
        <v>10</v>
      </c>
      <c r="AE127" s="6" t="n">
        <v>30</v>
      </c>
      <c r="AF127" s="7" t="n">
        <f aca="false">IF(AND(ISNUMBER(G127),ISNUMBER(AE127)),IF(AE127&gt;0,G127/AE127,"N/A"),"N/A")</f>
        <v>50000</v>
      </c>
      <c r="AG127" s="6" t="s">
        <v>277</v>
      </c>
      <c r="AH127" s="6" t="s">
        <v>77</v>
      </c>
      <c r="AI127" s="3" t="s">
        <v>428</v>
      </c>
      <c r="AJ127" s="6"/>
    </row>
    <row r="128" customFormat="false" ht="38.25" hidden="true" customHeight="true" outlineLevel="0" collapsed="false">
      <c r="A128" s="6" t="s">
        <v>378</v>
      </c>
      <c r="B128" s="6" t="s">
        <v>429</v>
      </c>
      <c r="C128" s="6" t="s">
        <v>430</v>
      </c>
      <c r="D128" s="6"/>
      <c r="E128" s="6"/>
      <c r="F128" s="3" t="s">
        <v>431</v>
      </c>
      <c r="G128" s="6"/>
      <c r="H128" s="6"/>
      <c r="I128" s="6" t="n">
        <v>0</v>
      </c>
      <c r="J128" s="6" t="n">
        <v>0</v>
      </c>
      <c r="K128" s="6"/>
      <c r="L128" s="6"/>
      <c r="M128" s="6"/>
      <c r="N128" s="6"/>
      <c r="O128" s="6"/>
      <c r="P128" s="6"/>
      <c r="Q128" s="7" t="str">
        <f aca="false">IF(AND(ISNUMBER(N128),ISNUMBER(J128),ISNUMBER(O128)),IF(AND(N128&gt;0,J128&gt;0,O128&gt;0),N128/J128*O128,"N/A"),"N/A")</f>
        <v>N/A</v>
      </c>
      <c r="R128" s="8" t="str">
        <f aca="false">IF(ISNUMBER(Q128),ROUND(1+9*PERCENTRANK($Q$2:$Q$140,Q128),1),"N/A")</f>
        <v>N/A</v>
      </c>
      <c r="S128" s="6"/>
      <c r="T128" s="6"/>
      <c r="U128" s="6"/>
      <c r="V128" s="6" t="n">
        <v>0</v>
      </c>
      <c r="W128" s="6" t="n">
        <v>0</v>
      </c>
      <c r="X128" s="6"/>
      <c r="Y128" s="6"/>
      <c r="Z128" s="6"/>
      <c r="AA128" s="6"/>
      <c r="AB128" s="6"/>
      <c r="AC128" s="6"/>
      <c r="AD128" s="6"/>
      <c r="AE128" s="6" t="n">
        <v>0</v>
      </c>
      <c r="AF128" s="7" t="str">
        <f aca="false">IF(AND(ISNUMBER(G128),ISNUMBER(AE128)),IF(AE128&gt;0,G128/AE128,"N/A"),"N/A")</f>
        <v>N/A</v>
      </c>
      <c r="AG128" s="6"/>
      <c r="AH128" s="6"/>
      <c r="AI128" s="3" t="s">
        <v>432</v>
      </c>
      <c r="AJ128" s="3" t="s">
        <v>433</v>
      </c>
    </row>
    <row r="129" customFormat="false" ht="25.5" hidden="true" customHeight="true" outlineLevel="0" collapsed="false">
      <c r="A129" s="6" t="s">
        <v>378</v>
      </c>
      <c r="B129" s="3" t="s">
        <v>434</v>
      </c>
      <c r="C129" s="6" t="s">
        <v>435</v>
      </c>
      <c r="D129" s="6"/>
      <c r="E129" s="6"/>
      <c r="F129" s="6" t="s">
        <v>436</v>
      </c>
      <c r="G129" s="6"/>
      <c r="H129" s="6"/>
      <c r="I129" s="6" t="n">
        <v>0</v>
      </c>
      <c r="J129" s="6" t="n">
        <v>0</v>
      </c>
      <c r="K129" s="6"/>
      <c r="L129" s="6"/>
      <c r="M129" s="6"/>
      <c r="N129" s="6"/>
      <c r="O129" s="6"/>
      <c r="P129" s="6"/>
      <c r="Q129" s="7" t="str">
        <f aca="false">IF(AND(ISNUMBER(N129),ISNUMBER(J129),ISNUMBER(O129)),IF(AND(N129&gt;0,J129&gt;0,O129&gt;0),N129/J129*O129,"N/A"),"N/A")</f>
        <v>N/A</v>
      </c>
      <c r="R129" s="8" t="str">
        <f aca="false">IF(ISNUMBER(Q129),ROUND(1+9*PERCENTRANK($Q$2:$Q$140,Q129),1),"N/A")</f>
        <v>N/A</v>
      </c>
      <c r="S129" s="6"/>
      <c r="T129" s="6"/>
      <c r="U129" s="6"/>
      <c r="V129" s="6" t="n">
        <v>0</v>
      </c>
      <c r="W129" s="6" t="n">
        <v>0</v>
      </c>
      <c r="X129" s="6"/>
      <c r="Y129" s="6"/>
      <c r="Z129" s="6"/>
      <c r="AA129" s="6"/>
      <c r="AB129" s="6"/>
      <c r="AC129" s="6"/>
      <c r="AD129" s="6"/>
      <c r="AE129" s="6" t="n">
        <v>0</v>
      </c>
      <c r="AF129" s="7" t="str">
        <f aca="false">IF(AND(ISNUMBER(G129),ISNUMBER(AE129)),IF(AE129&gt;0,G129/AE129,"N/A"),"N/A")</f>
        <v>N/A</v>
      </c>
      <c r="AG129" s="6"/>
      <c r="AH129" s="6"/>
      <c r="AI129" s="3" t="s">
        <v>437</v>
      </c>
      <c r="AJ129" s="3" t="s">
        <v>438</v>
      </c>
    </row>
    <row r="130" customFormat="false" ht="25.5" hidden="true" customHeight="true" outlineLevel="0" collapsed="false">
      <c r="A130" s="6" t="s">
        <v>378</v>
      </c>
      <c r="B130" s="3" t="s">
        <v>439</v>
      </c>
      <c r="C130" s="6" t="s">
        <v>435</v>
      </c>
      <c r="D130" s="6"/>
      <c r="E130" s="6"/>
      <c r="F130" s="6" t="s">
        <v>440</v>
      </c>
      <c r="G130" s="6"/>
      <c r="H130" s="6"/>
      <c r="I130" s="6" t="n">
        <v>0</v>
      </c>
      <c r="J130" s="6" t="n">
        <v>0</v>
      </c>
      <c r="K130" s="6"/>
      <c r="L130" s="6"/>
      <c r="M130" s="6"/>
      <c r="N130" s="6"/>
      <c r="O130" s="6"/>
      <c r="P130" s="6"/>
      <c r="Q130" s="7" t="str">
        <f aca="false">IF(AND(ISNUMBER(N130),ISNUMBER(J130),ISNUMBER(O130)),IF(AND(N130&gt;0,J130&gt;0,O130&gt;0),N130/J130*O130,"N/A"),"N/A")</f>
        <v>N/A</v>
      </c>
      <c r="R130" s="8" t="str">
        <f aca="false">IF(ISNUMBER(Q130),ROUND(1+9*PERCENTRANK($Q$2:$Q$140,Q130),1),"N/A")</f>
        <v>N/A</v>
      </c>
      <c r="S130" s="6"/>
      <c r="T130" s="6"/>
      <c r="U130" s="6"/>
      <c r="V130" s="6" t="n">
        <v>0</v>
      </c>
      <c r="W130" s="6" t="n">
        <v>0</v>
      </c>
      <c r="X130" s="6"/>
      <c r="Y130" s="6"/>
      <c r="Z130" s="6"/>
      <c r="AA130" s="6"/>
      <c r="AB130" s="6"/>
      <c r="AC130" s="6"/>
      <c r="AD130" s="6"/>
      <c r="AE130" s="6" t="n">
        <v>0</v>
      </c>
      <c r="AF130" s="7" t="str">
        <f aca="false">IF(AND(ISNUMBER(G130),ISNUMBER(AE130)),IF(AE130&gt;0,G130/AE130,"N/A"),"N/A")</f>
        <v>N/A</v>
      </c>
      <c r="AG130" s="6"/>
      <c r="AH130" s="6"/>
      <c r="AI130" s="3" t="s">
        <v>437</v>
      </c>
      <c r="AJ130" s="3" t="s">
        <v>438</v>
      </c>
    </row>
    <row r="131" customFormat="false" ht="51" hidden="false" customHeight="true" outlineLevel="0" collapsed="false">
      <c r="A131" s="6" t="s">
        <v>378</v>
      </c>
      <c r="B131" s="6" t="s">
        <v>441</v>
      </c>
      <c r="C131" s="6" t="s">
        <v>295</v>
      </c>
      <c r="D131" s="6" t="s">
        <v>296</v>
      </c>
      <c r="E131" s="6"/>
      <c r="F131" s="3" t="s">
        <v>442</v>
      </c>
      <c r="G131" s="6" t="n">
        <v>55</v>
      </c>
      <c r="H131" s="6" t="n">
        <v>1900</v>
      </c>
      <c r="I131" s="6" t="n">
        <v>8</v>
      </c>
      <c r="J131" s="6" t="n">
        <v>85</v>
      </c>
      <c r="K131" s="6" t="s">
        <v>117</v>
      </c>
      <c r="L131" s="6"/>
      <c r="M131" s="6" t="n">
        <v>877</v>
      </c>
      <c r="N131" s="6" t="n">
        <v>28000</v>
      </c>
      <c r="O131" s="6" t="n">
        <v>6</v>
      </c>
      <c r="P131" s="6" t="n">
        <v>5</v>
      </c>
      <c r="Q131" s="7" t="n">
        <f aca="false">IF(AND(ISNUMBER(N131),ISNUMBER(J131),ISNUMBER(O131)),IF(AND(N131&gt;0,J131&gt;0,O131&gt;0),N131/J131*O131,"N/A"),"N/A")</f>
        <v>1976.47058823529</v>
      </c>
      <c r="R131" s="8" t="n">
        <f aca="false">IF(ISNUMBER(Q131),ROUND(1+9*PERCENTRANK($Q$2:$Q$140,Q131),1),"N/A")</f>
        <v>6.8</v>
      </c>
      <c r="S131" s="6" t="n">
        <v>500</v>
      </c>
      <c r="T131" s="6" t="n">
        <v>12500</v>
      </c>
      <c r="U131" s="6"/>
      <c r="V131" s="6" t="n">
        <v>1000</v>
      </c>
      <c r="W131" s="6" t="n">
        <v>50</v>
      </c>
      <c r="X131" s="6"/>
      <c r="Y131" s="6"/>
      <c r="Z131" s="6"/>
      <c r="AA131" s="6"/>
      <c r="AB131" s="6"/>
      <c r="AC131" s="6"/>
      <c r="AD131" s="6" t="n">
        <v>8</v>
      </c>
      <c r="AE131" s="6" t="n">
        <v>0.15</v>
      </c>
      <c r="AF131" s="7" t="n">
        <f aca="false">IF(AND(ISNUMBER(G131),ISNUMBER(AE131)),IF(AE131&gt;0,G131/AE131,"N/A"),"N/A")</f>
        <v>366.666666666667</v>
      </c>
      <c r="AG131" s="6" t="s">
        <v>298</v>
      </c>
      <c r="AH131" s="6" t="s">
        <v>63</v>
      </c>
      <c r="AI131" s="3" t="s">
        <v>443</v>
      </c>
      <c r="AJ131" s="6"/>
    </row>
    <row r="132" customFormat="false" ht="25.5" hidden="true" customHeight="true" outlineLevel="0" collapsed="false">
      <c r="A132" s="6" t="s">
        <v>378</v>
      </c>
      <c r="B132" s="6" t="s">
        <v>444</v>
      </c>
      <c r="C132" s="6" t="s">
        <v>445</v>
      </c>
      <c r="D132" s="6" t="s">
        <v>446</v>
      </c>
      <c r="E132" s="6"/>
      <c r="F132" s="6" t="s">
        <v>447</v>
      </c>
      <c r="G132" s="6"/>
      <c r="H132" s="6"/>
      <c r="I132" s="6" t="n">
        <v>0</v>
      </c>
      <c r="J132" s="6" t="n">
        <v>15</v>
      </c>
      <c r="K132" s="6" t="s">
        <v>448</v>
      </c>
      <c r="L132" s="6"/>
      <c r="M132" s="6"/>
      <c r="N132" s="6"/>
      <c r="O132" s="6"/>
      <c r="P132" s="6"/>
      <c r="Q132" s="7" t="str">
        <f aca="false">IF(AND(ISNUMBER(N132),ISNUMBER(J132),ISNUMBER(O132)),IF(AND(N132&gt;0,J132&gt;0,O132&gt;0),N132/J132*O132,"N/A"),"N/A")</f>
        <v>N/A</v>
      </c>
      <c r="R132" s="8" t="str">
        <f aca="false">IF(ISNUMBER(Q132),ROUND(1+9*PERCENTRANK($Q$2:$Q$140,Q132),1),"N/A")</f>
        <v>N/A</v>
      </c>
      <c r="S132" s="6"/>
      <c r="T132" s="6"/>
      <c r="U132" s="6"/>
      <c r="V132" s="6" t="n">
        <v>0</v>
      </c>
      <c r="W132" s="6" t="n">
        <v>0</v>
      </c>
      <c r="X132" s="6"/>
      <c r="Y132" s="6"/>
      <c r="Z132" s="6"/>
      <c r="AA132" s="6"/>
      <c r="AB132" s="6"/>
      <c r="AC132" s="6"/>
      <c r="AD132" s="6"/>
      <c r="AE132" s="6" t="n">
        <v>0.001</v>
      </c>
      <c r="AF132" s="7" t="str">
        <f aca="false">IF(AND(ISNUMBER(G132),ISNUMBER(AE132)),IF(AE132&gt;0,G132/AE132,"N/A"),"N/A")</f>
        <v>N/A</v>
      </c>
      <c r="AG132" s="6"/>
      <c r="AH132" s="6"/>
      <c r="AI132" s="3" t="s">
        <v>449</v>
      </c>
      <c r="AJ132" s="3" t="s">
        <v>84</v>
      </c>
    </row>
    <row r="133" customFormat="false" ht="25.5" hidden="true" customHeight="true" outlineLevel="0" collapsed="false">
      <c r="A133" s="6" t="s">
        <v>378</v>
      </c>
      <c r="B133" s="6" t="s">
        <v>450</v>
      </c>
      <c r="C133" s="6" t="s">
        <v>445</v>
      </c>
      <c r="D133" s="6" t="s">
        <v>446</v>
      </c>
      <c r="E133" s="6"/>
      <c r="F133" s="6" t="s">
        <v>451</v>
      </c>
      <c r="G133" s="6"/>
      <c r="H133" s="6"/>
      <c r="I133" s="6" t="n">
        <v>0</v>
      </c>
      <c r="J133" s="6" t="n">
        <v>15</v>
      </c>
      <c r="K133" s="6" t="s">
        <v>452</v>
      </c>
      <c r="L133" s="6"/>
      <c r="M133" s="6"/>
      <c r="N133" s="6"/>
      <c r="O133" s="6"/>
      <c r="P133" s="6"/>
      <c r="Q133" s="7" t="str">
        <f aca="false">IF(AND(ISNUMBER(N133),ISNUMBER(J133),ISNUMBER(O133)),IF(AND(N133&gt;0,J133&gt;0,O133&gt;0),N133/J133*O133,"N/A"),"N/A")</f>
        <v>N/A</v>
      </c>
      <c r="R133" s="8" t="str">
        <f aca="false">IF(ISNUMBER(Q133),ROUND(1+9*PERCENTRANK($Q$2:$Q$140,Q133),1),"N/A")</f>
        <v>N/A</v>
      </c>
      <c r="S133" s="6"/>
      <c r="T133" s="6"/>
      <c r="U133" s="6"/>
      <c r="V133" s="6" t="n">
        <v>0</v>
      </c>
      <c r="W133" s="6" t="n">
        <v>0</v>
      </c>
      <c r="X133" s="6"/>
      <c r="Y133" s="6"/>
      <c r="Z133" s="6"/>
      <c r="AA133" s="6"/>
      <c r="AB133" s="6"/>
      <c r="AC133" s="6"/>
      <c r="AD133" s="6"/>
      <c r="AE133" s="6" t="n">
        <v>0.001</v>
      </c>
      <c r="AF133" s="7" t="str">
        <f aca="false">IF(AND(ISNUMBER(G133),ISNUMBER(AE133)),IF(AE133&gt;0,G133/AE133,"N/A"),"N/A")</f>
        <v>N/A</v>
      </c>
      <c r="AG133" s="6"/>
      <c r="AH133" s="6"/>
      <c r="AI133" s="3" t="s">
        <v>453</v>
      </c>
      <c r="AJ133" s="3" t="s">
        <v>84</v>
      </c>
    </row>
    <row r="134" customFormat="false" ht="25.5" hidden="true" customHeight="true" outlineLevel="0" collapsed="false">
      <c r="A134" s="6" t="s">
        <v>378</v>
      </c>
      <c r="B134" s="6" t="s">
        <v>454</v>
      </c>
      <c r="C134" s="6" t="s">
        <v>445</v>
      </c>
      <c r="D134" s="6" t="s">
        <v>446</v>
      </c>
      <c r="E134" s="6"/>
      <c r="F134" s="6" t="s">
        <v>455</v>
      </c>
      <c r="G134" s="6"/>
      <c r="H134" s="6"/>
      <c r="I134" s="6" t="n">
        <v>0</v>
      </c>
      <c r="J134" s="6" t="n">
        <v>15</v>
      </c>
      <c r="K134" s="6" t="s">
        <v>398</v>
      </c>
      <c r="L134" s="6"/>
      <c r="M134" s="6"/>
      <c r="N134" s="6"/>
      <c r="O134" s="6"/>
      <c r="P134" s="6"/>
      <c r="Q134" s="7" t="str">
        <f aca="false">IF(AND(ISNUMBER(N134),ISNUMBER(J134),ISNUMBER(O134)),IF(AND(N134&gt;0,J134&gt;0,O134&gt;0),N134/J134*O134,"N/A"),"N/A")</f>
        <v>N/A</v>
      </c>
      <c r="R134" s="8" t="str">
        <f aca="false">IF(ISNUMBER(Q134),ROUND(1+9*PERCENTRANK($Q$2:$Q$140,Q134),1),"N/A")</f>
        <v>N/A</v>
      </c>
      <c r="S134" s="6"/>
      <c r="T134" s="6"/>
      <c r="U134" s="6"/>
      <c r="V134" s="6" t="n">
        <v>0</v>
      </c>
      <c r="W134" s="6" t="n">
        <v>0</v>
      </c>
      <c r="X134" s="6"/>
      <c r="Y134" s="6"/>
      <c r="Z134" s="6"/>
      <c r="AA134" s="6"/>
      <c r="AB134" s="6"/>
      <c r="AC134" s="6"/>
      <c r="AD134" s="6"/>
      <c r="AE134" s="6" t="n">
        <v>0.001</v>
      </c>
      <c r="AF134" s="7" t="str">
        <f aca="false">IF(AND(ISNUMBER(G134),ISNUMBER(AE134)),IF(AE134&gt;0,G134/AE134,"N/A"),"N/A")</f>
        <v>N/A</v>
      </c>
      <c r="AG134" s="6"/>
      <c r="AH134" s="6"/>
      <c r="AI134" s="3" t="s">
        <v>456</v>
      </c>
      <c r="AJ134" s="3" t="s">
        <v>84</v>
      </c>
    </row>
    <row r="135" customFormat="false" ht="25.5" hidden="true" customHeight="true" outlineLevel="0" collapsed="false">
      <c r="A135" s="6" t="s">
        <v>457</v>
      </c>
      <c r="B135" s="6" t="s">
        <v>458</v>
      </c>
      <c r="C135" s="3" t="s">
        <v>125</v>
      </c>
      <c r="D135" s="6"/>
      <c r="E135" s="6"/>
      <c r="F135" s="6"/>
      <c r="G135" s="6" t="n">
        <v>0.01</v>
      </c>
      <c r="H135" s="6" t="n">
        <v>400</v>
      </c>
      <c r="I135" s="6" t="n">
        <v>4</v>
      </c>
      <c r="J135" s="6" t="n">
        <v>0.27</v>
      </c>
      <c r="K135" s="6"/>
      <c r="L135" s="6" t="n">
        <v>1100</v>
      </c>
      <c r="M135" s="6"/>
      <c r="N135" s="6"/>
      <c r="O135" s="6"/>
      <c r="P135" s="6"/>
      <c r="Q135" s="7" t="str">
        <f aca="false">IF(AND(ISNUMBER(N135),ISNUMBER(J135),ISNUMBER(O135)),IF(AND(N135&gt;0,J135&gt;0,O135&gt;0),N135/J135*O135,"N/A"),"N/A")</f>
        <v>N/A</v>
      </c>
      <c r="R135" s="8" t="str">
        <f aca="false">IF(ISNUMBER(Q135),ROUND(1+9*PERCENTRANK($Q$2:$Q$140,Q135),1),"N/A")</f>
        <v>N/A</v>
      </c>
      <c r="S135" s="6"/>
      <c r="T135" s="6" t="n">
        <v>2000</v>
      </c>
      <c r="U135" s="6"/>
      <c r="V135" s="6" t="s">
        <v>70</v>
      </c>
      <c r="W135" s="6" t="s">
        <v>70</v>
      </c>
      <c r="X135" s="6" t="n">
        <v>6000</v>
      </c>
      <c r="Y135" s="6" t="n">
        <v>1200</v>
      </c>
      <c r="Z135" s="6" t="n">
        <v>0</v>
      </c>
      <c r="AA135" s="6" t="n">
        <v>5</v>
      </c>
      <c r="AB135" s="6"/>
      <c r="AC135" s="6"/>
      <c r="AD135" s="6"/>
      <c r="AE135" s="6" t="n">
        <v>3E-005</v>
      </c>
      <c r="AF135" s="7" t="n">
        <f aca="false">IF(AND(ISNUMBER(G135),ISNUMBER(AE135)),IF(AE135&gt;0,G135/AE135,"N/A"),"N/A")</f>
        <v>333.333333333333</v>
      </c>
      <c r="AG135" s="6" t="s">
        <v>126</v>
      </c>
      <c r="AH135" s="6" t="s">
        <v>63</v>
      </c>
      <c r="AI135" s="3" t="s">
        <v>139</v>
      </c>
      <c r="AJ135" s="3" t="s">
        <v>319</v>
      </c>
    </row>
    <row r="136" customFormat="false" ht="25.5" hidden="true" customHeight="true" outlineLevel="0" collapsed="false">
      <c r="A136" s="6" t="s">
        <v>457</v>
      </c>
      <c r="B136" s="6" t="s">
        <v>459</v>
      </c>
      <c r="C136" s="6" t="s">
        <v>303</v>
      </c>
      <c r="D136" s="6"/>
      <c r="E136" s="6"/>
      <c r="F136" s="6"/>
      <c r="G136" s="6"/>
      <c r="H136" s="6"/>
      <c r="I136" s="6" t="n">
        <v>5</v>
      </c>
      <c r="J136" s="6" t="n">
        <v>0</v>
      </c>
      <c r="K136" s="6"/>
      <c r="L136" s="6" t="n">
        <v>300000000</v>
      </c>
      <c r="M136" s="6"/>
      <c r="N136" s="6"/>
      <c r="O136" s="6"/>
      <c r="P136" s="6"/>
      <c r="Q136" s="7" t="str">
        <f aca="false">IF(AND(ISNUMBER(N136),ISNUMBER(J136),ISNUMBER(O136)),IF(AND(N136&gt;0,J136&gt;0,O136&gt;0),N136/J136*O136,"N/A"),"N/A")</f>
        <v>N/A</v>
      </c>
      <c r="R136" s="8" t="str">
        <f aca="false">IF(ISNUMBER(Q136),ROUND(1+9*PERCENTRANK($Q$2:$Q$140,Q136),1),"N/A")</f>
        <v>N/A</v>
      </c>
      <c r="S136" s="6"/>
      <c r="T136" s="6" t="n">
        <v>15000</v>
      </c>
      <c r="U136" s="6"/>
      <c r="V136" s="6" t="s">
        <v>70</v>
      </c>
      <c r="W136" s="6" t="s">
        <v>70</v>
      </c>
      <c r="X136" s="6"/>
      <c r="Y136" s="6"/>
      <c r="Z136" s="6"/>
      <c r="AA136" s="6"/>
      <c r="AB136" s="6"/>
      <c r="AC136" s="6"/>
      <c r="AD136" s="6"/>
      <c r="AE136" s="6" t="n">
        <v>0</v>
      </c>
      <c r="AF136" s="7" t="str">
        <f aca="false">IF(AND(ISNUMBER(G136),ISNUMBER(AE136)),IF(AE136&gt;0,G136/AE136,"N/A"),"N/A")</f>
        <v>N/A</v>
      </c>
      <c r="AG136" s="6" t="s">
        <v>304</v>
      </c>
      <c r="AH136" s="3" t="s">
        <v>129</v>
      </c>
      <c r="AI136" s="3" t="s">
        <v>460</v>
      </c>
      <c r="AJ136" s="6"/>
    </row>
    <row r="137" customFormat="false" ht="38.25" hidden="true" customHeight="true" outlineLevel="0" collapsed="false">
      <c r="A137" s="6" t="s">
        <v>461</v>
      </c>
      <c r="B137" s="6" t="s">
        <v>143</v>
      </c>
      <c r="C137" s="3" t="s">
        <v>125</v>
      </c>
      <c r="D137" s="6"/>
      <c r="E137" s="6"/>
      <c r="F137" s="6"/>
      <c r="G137" s="6" t="n">
        <v>0.04</v>
      </c>
      <c r="H137" s="6" t="n">
        <v>500</v>
      </c>
      <c r="I137" s="6" t="n">
        <v>4</v>
      </c>
      <c r="J137" s="6" t="n">
        <v>0.4</v>
      </c>
      <c r="K137" s="6"/>
      <c r="L137" s="6" t="n">
        <v>1100</v>
      </c>
      <c r="M137" s="6"/>
      <c r="N137" s="6"/>
      <c r="O137" s="6"/>
      <c r="P137" s="6"/>
      <c r="Q137" s="7" t="str">
        <f aca="false">IF(AND(ISNUMBER(N137),ISNUMBER(J137),ISNUMBER(O137)),IF(AND(N137&gt;0,J137&gt;0,O137&gt;0),N137/J137*O137,"N/A"),"N/A")</f>
        <v>N/A</v>
      </c>
      <c r="R137" s="8" t="str">
        <f aca="false">IF(ISNUMBER(Q137),ROUND(1+9*PERCENTRANK($Q$2:$Q$140,Q137),1),"N/A")</f>
        <v>N/A</v>
      </c>
      <c r="S137" s="6"/>
      <c r="T137" s="6" t="n">
        <v>2000</v>
      </c>
      <c r="U137" s="6"/>
      <c r="V137" s="6" t="s">
        <v>70</v>
      </c>
      <c r="W137" s="6" t="s">
        <v>70</v>
      </c>
      <c r="X137" s="6" t="n">
        <v>1800</v>
      </c>
      <c r="Y137" s="6" t="n">
        <v>400</v>
      </c>
      <c r="Z137" s="6" t="n">
        <v>0</v>
      </c>
      <c r="AA137" s="6" t="n">
        <v>3</v>
      </c>
      <c r="AB137" s="6"/>
      <c r="AC137" s="6"/>
      <c r="AD137" s="6"/>
      <c r="AE137" s="6" t="n">
        <v>4E-005</v>
      </c>
      <c r="AF137" s="7" t="n">
        <f aca="false">IF(AND(ISNUMBER(G137),ISNUMBER(AE137)),IF(AE137&gt;0,G137/AE137,"N/A"),"N/A")</f>
        <v>1000</v>
      </c>
      <c r="AG137" s="6" t="s">
        <v>126</v>
      </c>
      <c r="AH137" s="6" t="s">
        <v>63</v>
      </c>
      <c r="AI137" s="3" t="s">
        <v>462</v>
      </c>
      <c r="AJ137" s="6" t="s">
        <v>319</v>
      </c>
    </row>
    <row r="138" customFormat="false" ht="38.25" hidden="true" customHeight="true" outlineLevel="0" collapsed="false">
      <c r="A138" s="6" t="s">
        <v>461</v>
      </c>
      <c r="B138" s="6" t="s">
        <v>327</v>
      </c>
      <c r="C138" s="3" t="s">
        <v>125</v>
      </c>
      <c r="D138" s="6"/>
      <c r="E138" s="6"/>
      <c r="F138" s="6"/>
      <c r="G138" s="6" t="n">
        <v>0.1</v>
      </c>
      <c r="H138" s="6" t="n">
        <v>500</v>
      </c>
      <c r="I138" s="6" t="n">
        <v>5</v>
      </c>
      <c r="J138" s="6" t="n">
        <v>0.5</v>
      </c>
      <c r="K138" s="6"/>
      <c r="L138" s="6" t="n">
        <v>1200</v>
      </c>
      <c r="M138" s="6"/>
      <c r="N138" s="6"/>
      <c r="O138" s="6"/>
      <c r="P138" s="6"/>
      <c r="Q138" s="7" t="str">
        <f aca="false">IF(AND(ISNUMBER(N138),ISNUMBER(J138),ISNUMBER(O138)),IF(AND(N138&gt;0,J138&gt;0,O138&gt;0),N138/J138*O138,"N/A"),"N/A")</f>
        <v>N/A</v>
      </c>
      <c r="R138" s="8" t="str">
        <f aca="false">IF(ISNUMBER(Q138),ROUND(1+9*PERCENTRANK($Q$2:$Q$140,Q138),1),"N/A")</f>
        <v>N/A</v>
      </c>
      <c r="S138" s="6"/>
      <c r="T138" s="6" t="n">
        <v>3000</v>
      </c>
      <c r="U138" s="6"/>
      <c r="V138" s="6" t="s">
        <v>70</v>
      </c>
      <c r="W138" s="6" t="s">
        <v>70</v>
      </c>
      <c r="X138" s="6" t="n">
        <v>1200</v>
      </c>
      <c r="Y138" s="6" t="n">
        <v>300</v>
      </c>
      <c r="Z138" s="6" t="n">
        <v>0</v>
      </c>
      <c r="AA138" s="6" t="n">
        <v>4</v>
      </c>
      <c r="AB138" s="6"/>
      <c r="AC138" s="6"/>
      <c r="AD138" s="6"/>
      <c r="AE138" s="6" t="n">
        <v>0.0003</v>
      </c>
      <c r="AF138" s="7" t="n">
        <f aca="false">IF(AND(ISNUMBER(G138),ISNUMBER(AE138)),IF(AE138&gt;0,G138/AE138,"N/A"),"N/A")</f>
        <v>333.333333333333</v>
      </c>
      <c r="AG138" s="6" t="s">
        <v>126</v>
      </c>
      <c r="AH138" s="6" t="s">
        <v>129</v>
      </c>
      <c r="AI138" s="3"/>
      <c r="AJ138" s="6" t="s">
        <v>463</v>
      </c>
    </row>
    <row r="139" customFormat="false" ht="76.5" hidden="false" customHeight="true" outlineLevel="0" collapsed="false">
      <c r="A139" s="6" t="s">
        <v>461</v>
      </c>
      <c r="B139" s="6" t="s">
        <v>464</v>
      </c>
      <c r="C139" s="3" t="s">
        <v>180</v>
      </c>
      <c r="D139" s="6" t="s">
        <v>241</v>
      </c>
      <c r="E139" s="6"/>
      <c r="F139" s="6" t="s">
        <v>250</v>
      </c>
      <c r="G139" s="6" t="n">
        <v>11</v>
      </c>
      <c r="H139" s="6" t="n">
        <v>400</v>
      </c>
      <c r="I139" s="6" t="n">
        <v>3</v>
      </c>
      <c r="J139" s="6" t="n">
        <v>100</v>
      </c>
      <c r="K139" s="6" t="s">
        <v>251</v>
      </c>
      <c r="L139" s="6"/>
      <c r="M139" s="6"/>
      <c r="N139" s="6" t="n">
        <v>28000</v>
      </c>
      <c r="O139" s="6" t="n">
        <v>2.2</v>
      </c>
      <c r="P139" s="6" t="n">
        <v>40</v>
      </c>
      <c r="Q139" s="7" t="n">
        <f aca="false">IF(AND(ISNUMBER(N139),ISNUMBER(J139),ISNUMBER(O139)),IF(AND(N139&gt;0,J139&gt;0,O139&gt;0),N139/J139*O139,"N/A"),"N/A")</f>
        <v>616</v>
      </c>
      <c r="R139" s="8" t="n">
        <f aca="false">IF(ISNUMBER(Q139),ROUND(1+9*PERCENTRANK($Q$2:$Q$140,Q139),1),"N/A")</f>
        <v>2.7</v>
      </c>
      <c r="S139" s="6" t="n">
        <v>1000</v>
      </c>
      <c r="T139" s="6" t="n">
        <v>15000</v>
      </c>
      <c r="U139" s="6" t="n">
        <v>2</v>
      </c>
      <c r="V139" s="6" t="s">
        <v>70</v>
      </c>
      <c r="W139" s="6" t="n">
        <v>1200</v>
      </c>
      <c r="X139" s="6"/>
      <c r="Y139" s="6"/>
      <c r="Z139" s="6"/>
      <c r="AA139" s="6"/>
      <c r="AB139" s="6"/>
      <c r="AC139" s="6"/>
      <c r="AD139" s="6" t="n">
        <v>80</v>
      </c>
      <c r="AE139" s="6" t="n">
        <v>0.36</v>
      </c>
      <c r="AF139" s="7" t="n">
        <f aca="false">IF(AND(ISNUMBER(G139),ISNUMBER(AE139)),IF(AE139&gt;0,G139/AE139,"N/A"),"N/A")</f>
        <v>30.5555555555556</v>
      </c>
      <c r="AG139" s="6" t="s">
        <v>185</v>
      </c>
      <c r="AH139" s="6" t="s">
        <v>186</v>
      </c>
      <c r="AI139" s="3" t="s">
        <v>465</v>
      </c>
      <c r="AJ139" s="6" t="s">
        <v>466</v>
      </c>
    </row>
    <row r="140" customFormat="false" ht="89.25" hidden="false" customHeight="true" outlineLevel="0" collapsed="false">
      <c r="A140" s="6" t="s">
        <v>467</v>
      </c>
      <c r="B140" s="6" t="s">
        <v>468</v>
      </c>
      <c r="C140" s="3" t="s">
        <v>180</v>
      </c>
      <c r="D140" s="6" t="s">
        <v>263</v>
      </c>
      <c r="E140" s="6"/>
      <c r="F140" s="6" t="s">
        <v>469</v>
      </c>
      <c r="G140" s="6" t="n">
        <v>21</v>
      </c>
      <c r="H140" s="6" t="n">
        <v>400</v>
      </c>
      <c r="I140" s="6" t="n">
        <v>3</v>
      </c>
      <c r="J140" s="6" t="n">
        <v>145</v>
      </c>
      <c r="K140" s="6" t="s">
        <v>470</v>
      </c>
      <c r="L140" s="6"/>
      <c r="M140" s="6"/>
      <c r="N140" s="6" t="n">
        <v>35000</v>
      </c>
      <c r="O140" s="6" t="n">
        <v>4.5</v>
      </c>
      <c r="P140" s="6" t="n">
        <v>50</v>
      </c>
      <c r="Q140" s="7" t="n">
        <f aca="false">IF(AND(ISNUMBER(N140),ISNUMBER(J140),ISNUMBER(O140)),IF(AND(N140&gt;0,J140&gt;0,O140&gt;0),N140/J140*O140,"N/A"),"N/A")</f>
        <v>1086.20689655172</v>
      </c>
      <c r="R140" s="8" t="n">
        <f aca="false">IF(ISNUMBER(Q140),ROUND(1+9*PERCENTRANK($Q$2:$Q$140,Q140),1),"N/A")</f>
        <v>4.9</v>
      </c>
      <c r="S140" s="6" t="n">
        <v>1500</v>
      </c>
      <c r="T140" s="6" t="n">
        <v>31000</v>
      </c>
      <c r="U140" s="6" t="n">
        <v>2</v>
      </c>
      <c r="V140" s="6" t="s">
        <v>70</v>
      </c>
      <c r="W140" s="6" t="s">
        <v>70</v>
      </c>
      <c r="X140" s="6"/>
      <c r="Y140" s="6"/>
      <c r="Z140" s="6"/>
      <c r="AA140" s="6"/>
      <c r="AB140" s="6"/>
      <c r="AC140" s="6"/>
      <c r="AD140" s="6" t="n">
        <v>50</v>
      </c>
      <c r="AE140" s="6" t="n">
        <v>0.55</v>
      </c>
      <c r="AF140" s="7" t="n">
        <f aca="false">IF(AND(ISNUMBER(G140),ISNUMBER(AE140)),IF(AE140&gt;0,G140/AE140,"N/A"),"N/A")</f>
        <v>38.1818181818182</v>
      </c>
      <c r="AG140" s="6" t="s">
        <v>185</v>
      </c>
      <c r="AH140" s="6" t="s">
        <v>186</v>
      </c>
      <c r="AI140" s="3" t="s">
        <v>471</v>
      </c>
      <c r="AJ140" s="6" t="s">
        <v>472</v>
      </c>
    </row>
  </sheetData>
  <autoFilter ref="A1:AJ140">
    <filterColumn colId="2">
      <filters>
        <filter val="Missile"/>
        <filter val="Missile nucléaire"/>
        <filter val="Roquette / obus guidé"/>
        <filter val="Roquette guidée laser"/>
      </filters>
    </filterColumn>
  </autoFilter>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J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9.1484375" defaultRowHeight="15" zeroHeight="false" outlineLevelRow="0" outlineLevelCol="0"/>
  <cols>
    <col collapsed="false" customWidth="true" hidden="false" outlineLevel="0" max="2" min="1" style="1" width="22"/>
    <col collapsed="false" customWidth="true" hidden="false" outlineLevel="0" max="3" min="3" style="1" width="10"/>
    <col collapsed="false" customWidth="true" hidden="false" outlineLevel="0" max="4" min="4" style="1" width="30"/>
    <col collapsed="false" customWidth="true" hidden="false" outlineLevel="0" max="5" min="5" style="1" width="8"/>
    <col collapsed="false" customWidth="true" hidden="false" outlineLevel="0" max="6" min="6" style="1" width="9"/>
    <col collapsed="false" customWidth="true" hidden="false" outlineLevel="0" max="10" min="7" style="1" width="10"/>
    <col collapsed="false" customWidth="true" hidden="false" outlineLevel="0" max="11" min="11" style="1" width="34"/>
    <col collapsed="false" customWidth="true" hidden="false" outlineLevel="0" max="12" min="12" style="1" width="13"/>
    <col collapsed="false" customWidth="true" hidden="false" outlineLevel="0" max="13" min="13" style="1" width="14"/>
    <col collapsed="false" customWidth="true" hidden="false" outlineLevel="0" max="18" min="14" style="1" width="11"/>
    <col collapsed="false" customWidth="true" hidden="false" outlineLevel="0" max="19" min="19" style="1" width="10"/>
    <col collapsed="false" customWidth="true" hidden="false" outlineLevel="0" max="20" min="20" style="1" width="8"/>
    <col collapsed="false" customWidth="true" hidden="false" outlineLevel="0" max="21" min="21" style="1" width="9"/>
    <col collapsed="false" customWidth="true" hidden="false" outlineLevel="0" max="23" min="22" style="1" width="10"/>
    <col collapsed="false" customWidth="true" hidden="false" outlineLevel="0" max="25" min="24" style="1" width="11"/>
    <col collapsed="false" customWidth="true" hidden="false" outlineLevel="0" max="26" min="26" style="1" width="17"/>
    <col collapsed="false" customWidth="true" hidden="false" outlineLevel="0" max="27" min="27" style="1" width="12"/>
    <col collapsed="false" customWidth="true" hidden="false" outlineLevel="0" max="28" min="28" style="1" width="9"/>
    <col collapsed="false" customWidth="true" hidden="false" outlineLevel="0" max="29" min="29" style="1" width="11"/>
    <col collapsed="false" customWidth="true" hidden="false" outlineLevel="0" max="33" min="30" style="1" width="9"/>
    <col collapsed="false" customWidth="true" hidden="false" outlineLevel="0" max="34" min="34" style="1" width="11"/>
    <col collapsed="false" customWidth="true" hidden="false" outlineLevel="0" max="35" min="35" style="1" width="70"/>
    <col collapsed="false" customWidth="true" hidden="false" outlineLevel="0" max="36" min="36" style="1" width="46"/>
  </cols>
  <sheetData>
    <row r="1" customFormat="false" ht="48" hidden="false" customHeight="true" outlineLevel="0" collapsed="false">
      <c r="A1" s="5" t="s">
        <v>20</v>
      </c>
      <c r="B1" s="5" t="s">
        <v>473</v>
      </c>
      <c r="C1" s="5" t="s">
        <v>474</v>
      </c>
      <c r="D1" s="5" t="s">
        <v>22</v>
      </c>
      <c r="E1" s="5" t="s">
        <v>475</v>
      </c>
      <c r="F1" s="5" t="s">
        <v>476</v>
      </c>
      <c r="G1" s="5" t="s">
        <v>477</v>
      </c>
      <c r="H1" s="5" t="s">
        <v>478</v>
      </c>
      <c r="I1" s="5" t="s">
        <v>479</v>
      </c>
      <c r="J1" s="5" t="s">
        <v>480</v>
      </c>
      <c r="K1" s="5" t="s">
        <v>481</v>
      </c>
      <c r="L1" s="5" t="s">
        <v>482</v>
      </c>
      <c r="M1" s="5" t="s">
        <v>483</v>
      </c>
      <c r="N1" s="5" t="s">
        <v>484</v>
      </c>
      <c r="O1" s="5" t="s">
        <v>485</v>
      </c>
      <c r="P1" s="5" t="s">
        <v>486</v>
      </c>
      <c r="Q1" s="5" t="s">
        <v>487</v>
      </c>
      <c r="R1" s="5" t="s">
        <v>488</v>
      </c>
      <c r="S1" s="5" t="s">
        <v>489</v>
      </c>
      <c r="T1" s="5" t="s">
        <v>49</v>
      </c>
      <c r="U1" s="5" t="s">
        <v>490</v>
      </c>
      <c r="V1" s="5" t="s">
        <v>491</v>
      </c>
      <c r="W1" s="5" t="s">
        <v>492</v>
      </c>
      <c r="X1" s="5" t="s">
        <v>493</v>
      </c>
      <c r="Y1" s="5" t="s">
        <v>494</v>
      </c>
      <c r="Z1" s="5" t="s">
        <v>30</v>
      </c>
      <c r="AA1" s="5" t="s">
        <v>495</v>
      </c>
      <c r="AB1" s="5" t="s">
        <v>496</v>
      </c>
      <c r="AC1" s="5" t="s">
        <v>497</v>
      </c>
      <c r="AD1" s="5" t="s">
        <v>498</v>
      </c>
      <c r="AE1" s="5" t="s">
        <v>499</v>
      </c>
      <c r="AF1" s="5" t="s">
        <v>500</v>
      </c>
      <c r="AG1" s="5" t="s">
        <v>501</v>
      </c>
      <c r="AH1" s="5" t="s">
        <v>502</v>
      </c>
      <c r="AI1" s="5" t="s">
        <v>54</v>
      </c>
      <c r="AJ1" s="5" t="s">
        <v>55</v>
      </c>
    </row>
    <row r="2" customFormat="false" ht="63.75" hidden="false" customHeight="true" outlineLevel="0" collapsed="false">
      <c r="A2" s="6" t="s">
        <v>56</v>
      </c>
      <c r="B2" s="6" t="s">
        <v>503</v>
      </c>
      <c r="C2" s="6" t="s">
        <v>504</v>
      </c>
      <c r="D2" s="3" t="s">
        <v>505</v>
      </c>
      <c r="E2" s="6" t="n">
        <v>0</v>
      </c>
      <c r="F2" s="6" t="n">
        <v>11.5</v>
      </c>
      <c r="G2" s="6" t="n">
        <v>0.56</v>
      </c>
      <c r="H2" s="6" t="n">
        <v>0.44</v>
      </c>
      <c r="I2" s="6"/>
      <c r="J2" s="6"/>
      <c r="K2" s="3" t="s">
        <v>506</v>
      </c>
      <c r="L2" s="6"/>
      <c r="M2" s="6" t="n">
        <v>1500</v>
      </c>
      <c r="N2" s="6" t="n">
        <v>3850</v>
      </c>
      <c r="O2" s="6" t="n">
        <v>4800</v>
      </c>
      <c r="P2" s="6" t="n">
        <v>500</v>
      </c>
      <c r="Q2" s="6" t="n">
        <v>510</v>
      </c>
      <c r="R2" s="6" t="n">
        <v>140</v>
      </c>
      <c r="S2" s="6" t="n">
        <v>6.5</v>
      </c>
      <c r="T2" s="6" t="n">
        <v>6.5</v>
      </c>
      <c r="U2" s="6" t="s">
        <v>507</v>
      </c>
      <c r="V2" s="6" t="n">
        <v>50</v>
      </c>
      <c r="W2" s="6" t="n">
        <v>100</v>
      </c>
      <c r="X2" s="6" t="n">
        <v>50</v>
      </c>
      <c r="Y2" s="6" t="n">
        <v>90</v>
      </c>
      <c r="Z2" s="6" t="s">
        <v>508</v>
      </c>
      <c r="AA2" s="6"/>
      <c r="AB2" s="6"/>
      <c r="AC2" s="6"/>
      <c r="AD2" s="6" t="s">
        <v>507</v>
      </c>
      <c r="AE2" s="6" t="n">
        <v>48</v>
      </c>
      <c r="AF2" s="6"/>
      <c r="AG2" s="6" t="n">
        <v>1</v>
      </c>
      <c r="AH2" s="9" t="n">
        <v>0.5</v>
      </c>
      <c r="AI2" s="3" t="s">
        <v>509</v>
      </c>
      <c r="AJ2" s="6"/>
    </row>
    <row r="3" customFormat="false" ht="51" hidden="false" customHeight="true" outlineLevel="0" collapsed="false">
      <c r="A3" s="6" t="s">
        <v>56</v>
      </c>
      <c r="B3" s="6" t="s">
        <v>510</v>
      </c>
      <c r="C3" s="6" t="s">
        <v>511</v>
      </c>
      <c r="D3" s="6" t="s">
        <v>512</v>
      </c>
      <c r="E3" s="6" t="n">
        <v>1</v>
      </c>
      <c r="F3" s="6" t="n">
        <v>31</v>
      </c>
      <c r="G3" s="6" t="n">
        <v>0.9</v>
      </c>
      <c r="H3" s="6" t="n">
        <v>0.27</v>
      </c>
      <c r="I3" s="6"/>
      <c r="J3" s="6"/>
      <c r="K3" s="3" t="s">
        <v>513</v>
      </c>
      <c r="L3" s="6"/>
      <c r="M3" s="6" t="n">
        <v>3440</v>
      </c>
      <c r="N3" s="6" t="n">
        <v>7260</v>
      </c>
      <c r="O3" s="6" t="n">
        <v>10500</v>
      </c>
      <c r="P3" s="6" t="n">
        <v>1050</v>
      </c>
      <c r="Q3" s="6" t="n">
        <v>360</v>
      </c>
      <c r="R3" s="6"/>
      <c r="S3" s="6" t="n">
        <v>3.5</v>
      </c>
      <c r="T3" s="6" t="n">
        <v>3</v>
      </c>
      <c r="U3" s="6" t="s">
        <v>514</v>
      </c>
      <c r="V3" s="6"/>
      <c r="W3" s="6"/>
      <c r="X3" s="6" t="n">
        <v>30</v>
      </c>
      <c r="Y3" s="6" t="n">
        <v>120</v>
      </c>
      <c r="Z3" s="6" t="s">
        <v>515</v>
      </c>
      <c r="AA3" s="6"/>
      <c r="AB3" s="6" t="n">
        <v>1</v>
      </c>
      <c r="AC3" s="6"/>
      <c r="AD3" s="6" t="s">
        <v>514</v>
      </c>
      <c r="AE3" s="6" t="n">
        <v>72</v>
      </c>
      <c r="AF3" s="6"/>
      <c r="AG3" s="6" t="n">
        <v>1</v>
      </c>
      <c r="AH3" s="9" t="n">
        <v>0.0199999995529652</v>
      </c>
      <c r="AI3" s="3" t="s">
        <v>516</v>
      </c>
      <c r="AJ3" s="6"/>
    </row>
    <row r="4" customFormat="false" ht="51" hidden="false" customHeight="true" outlineLevel="0" collapsed="false">
      <c r="A4" s="6" t="s">
        <v>56</v>
      </c>
      <c r="B4" s="6" t="s">
        <v>517</v>
      </c>
      <c r="C4" s="6" t="s">
        <v>518</v>
      </c>
      <c r="D4" s="6" t="s">
        <v>519</v>
      </c>
      <c r="E4" s="6" t="n">
        <v>1</v>
      </c>
      <c r="F4" s="6" t="n">
        <v>21.8</v>
      </c>
      <c r="G4" s="6" t="n">
        <v>0.64</v>
      </c>
      <c r="H4" s="6" t="n">
        <v>0.62</v>
      </c>
      <c r="I4" s="6"/>
      <c r="J4" s="6"/>
      <c r="K4" s="6" t="s">
        <v>520</v>
      </c>
      <c r="L4" s="6" t="n">
        <v>63.2</v>
      </c>
      <c r="M4" s="6"/>
      <c r="N4" s="6" t="n">
        <v>5200</v>
      </c>
      <c r="O4" s="6" t="n">
        <v>10800</v>
      </c>
      <c r="P4" s="6" t="n">
        <v>2071.4</v>
      </c>
      <c r="Q4" s="6" t="n">
        <v>1060</v>
      </c>
      <c r="R4" s="6" t="n">
        <v>180</v>
      </c>
      <c r="S4" s="6" t="n">
        <v>8</v>
      </c>
      <c r="T4" s="6" t="n">
        <v>9</v>
      </c>
      <c r="U4" s="6" t="s">
        <v>507</v>
      </c>
      <c r="V4" s="6" t="n">
        <v>75</v>
      </c>
      <c r="W4" s="6" t="n">
        <v>300</v>
      </c>
      <c r="X4" s="6" t="n">
        <v>70</v>
      </c>
      <c r="Y4" s="6" t="n">
        <v>160</v>
      </c>
      <c r="Z4" s="6" t="s">
        <v>521</v>
      </c>
      <c r="AA4" s="6"/>
      <c r="AB4" s="6"/>
      <c r="AC4" s="6"/>
      <c r="AD4" s="6" t="s">
        <v>514</v>
      </c>
      <c r="AE4" s="6" t="n">
        <v>64</v>
      </c>
      <c r="AF4" s="6"/>
      <c r="AG4" s="6" t="n">
        <v>1</v>
      </c>
      <c r="AH4" s="9" t="n">
        <v>0.119999997317791</v>
      </c>
      <c r="AI4" s="3" t="s">
        <v>522</v>
      </c>
      <c r="AJ4" s="6"/>
    </row>
    <row r="5" customFormat="false" ht="76.5" hidden="false" customHeight="true" outlineLevel="0" collapsed="false">
      <c r="A5" s="6" t="s">
        <v>56</v>
      </c>
      <c r="B5" s="6" t="s">
        <v>523</v>
      </c>
      <c r="C5" s="6" t="s">
        <v>524</v>
      </c>
      <c r="D5" s="6" t="s">
        <v>512</v>
      </c>
      <c r="E5" s="6" t="n">
        <v>1</v>
      </c>
      <c r="F5" s="6" t="n">
        <v>29.5</v>
      </c>
      <c r="G5" s="6" t="n">
        <v>0.9</v>
      </c>
      <c r="H5" s="6" t="n">
        <v>0.27</v>
      </c>
      <c r="I5" s="6"/>
      <c r="J5" s="6"/>
      <c r="K5" s="3" t="s">
        <v>525</v>
      </c>
      <c r="L5" s="6"/>
      <c r="M5" s="6" t="n">
        <v>4520</v>
      </c>
      <c r="N5" s="6" t="n">
        <v>7260</v>
      </c>
      <c r="O5" s="6" t="n">
        <v>15500</v>
      </c>
      <c r="P5" s="6" t="n">
        <v>1400</v>
      </c>
      <c r="Q5" s="6" t="n">
        <v>482</v>
      </c>
      <c r="R5" s="6"/>
      <c r="S5" s="6" t="n">
        <v>3.5</v>
      </c>
      <c r="T5" s="6" t="n">
        <v>3.5</v>
      </c>
      <c r="U5" s="6" t="s">
        <v>514</v>
      </c>
      <c r="V5" s="6"/>
      <c r="W5" s="6"/>
      <c r="X5" s="6" t="n">
        <v>30</v>
      </c>
      <c r="Y5" s="6" t="n">
        <v>120</v>
      </c>
      <c r="Z5" s="6" t="s">
        <v>526</v>
      </c>
      <c r="AA5" s="6" t="n">
        <v>7</v>
      </c>
      <c r="AB5" s="6"/>
      <c r="AC5" s="6"/>
      <c r="AD5" s="6" t="s">
        <v>507</v>
      </c>
      <c r="AE5" s="6" t="n">
        <v>64</v>
      </c>
      <c r="AF5" s="6"/>
      <c r="AG5" s="6" t="n">
        <v>1</v>
      </c>
      <c r="AH5" s="9" t="n">
        <v>0.0299999993294478</v>
      </c>
      <c r="AI5" s="3" t="s">
        <v>527</v>
      </c>
      <c r="AJ5" s="6"/>
    </row>
    <row r="6" customFormat="false" ht="76.5" hidden="false" customHeight="true" outlineLevel="0" collapsed="false">
      <c r="A6" s="6" t="s">
        <v>56</v>
      </c>
      <c r="B6" s="6" t="s">
        <v>528</v>
      </c>
      <c r="C6" s="6" t="s">
        <v>529</v>
      </c>
      <c r="D6" s="3" t="s">
        <v>530</v>
      </c>
      <c r="E6" s="6" t="n">
        <v>1</v>
      </c>
      <c r="F6" s="6" t="n">
        <v>28.9</v>
      </c>
      <c r="G6" s="6" t="n">
        <v>0.64</v>
      </c>
      <c r="H6" s="6" t="n">
        <v>0.62</v>
      </c>
      <c r="I6" s="6"/>
      <c r="J6" s="6"/>
      <c r="K6" s="3" t="s">
        <v>531</v>
      </c>
      <c r="L6" s="6" t="n">
        <v>96</v>
      </c>
      <c r="M6" s="6"/>
      <c r="N6" s="6" t="n">
        <v>5200</v>
      </c>
      <c r="O6" s="6" t="n">
        <v>10050</v>
      </c>
      <c r="P6" s="6" t="n">
        <v>3650.3</v>
      </c>
      <c r="Q6" s="6" t="n">
        <v>1060</v>
      </c>
      <c r="R6" s="6" t="n">
        <v>180</v>
      </c>
      <c r="S6" s="6" t="n">
        <v>8</v>
      </c>
      <c r="T6" s="6" t="n">
        <v>8</v>
      </c>
      <c r="U6" s="6" t="s">
        <v>514</v>
      </c>
      <c r="V6" s="6" t="n">
        <v>35</v>
      </c>
      <c r="W6" s="6" t="n">
        <v>100</v>
      </c>
      <c r="X6" s="6" t="n">
        <v>100</v>
      </c>
      <c r="Y6" s="6" t="n">
        <v>160</v>
      </c>
      <c r="Z6" s="6" t="s">
        <v>532</v>
      </c>
      <c r="AA6" s="6" t="n">
        <v>6</v>
      </c>
      <c r="AB6" s="6"/>
      <c r="AC6" s="6" t="n">
        <v>35000</v>
      </c>
      <c r="AD6" s="6" t="s">
        <v>514</v>
      </c>
      <c r="AE6" s="6" t="n">
        <v>64</v>
      </c>
      <c r="AF6" s="6"/>
      <c r="AG6" s="6" t="n">
        <v>1</v>
      </c>
      <c r="AH6" s="9" t="n">
        <v>0.119999997317791</v>
      </c>
      <c r="AI6" s="3" t="s">
        <v>533</v>
      </c>
      <c r="AJ6" s="6"/>
    </row>
    <row r="7" customFormat="false" ht="76.5" hidden="false" customHeight="true" outlineLevel="0" collapsed="false">
      <c r="A7" s="6" t="s">
        <v>56</v>
      </c>
      <c r="B7" s="6" t="s">
        <v>534</v>
      </c>
      <c r="C7" s="6" t="s">
        <v>535</v>
      </c>
      <c r="D7" s="3" t="s">
        <v>505</v>
      </c>
      <c r="E7" s="6" t="n">
        <v>2</v>
      </c>
      <c r="F7" s="6" t="n">
        <v>36</v>
      </c>
      <c r="G7" s="6" t="n">
        <v>0.8</v>
      </c>
      <c r="H7" s="6" t="n">
        <v>0.3</v>
      </c>
      <c r="I7" s="6"/>
      <c r="J7" s="6"/>
      <c r="K7" s="6" t="s">
        <v>536</v>
      </c>
      <c r="L7" s="6"/>
      <c r="M7" s="6" t="n">
        <v>6800</v>
      </c>
      <c r="N7" s="6" t="n">
        <v>5200</v>
      </c>
      <c r="O7" s="6" t="n">
        <v>19000</v>
      </c>
      <c r="P7" s="6" t="n">
        <v>4800</v>
      </c>
      <c r="Q7" s="6" t="n">
        <v>740</v>
      </c>
      <c r="R7" s="6" t="n">
        <v>220</v>
      </c>
      <c r="S7" s="6" t="n">
        <v>7.5</v>
      </c>
      <c r="T7" s="6" t="n">
        <v>7.5</v>
      </c>
      <c r="U7" s="6" t="s">
        <v>507</v>
      </c>
      <c r="V7" s="6" t="n">
        <v>80</v>
      </c>
      <c r="W7" s="6" t="n">
        <v>500</v>
      </c>
      <c r="X7" s="6" t="n">
        <v>80</v>
      </c>
      <c r="Y7" s="6" t="n">
        <v>200</v>
      </c>
      <c r="Z7" s="6" t="s">
        <v>537</v>
      </c>
      <c r="AA7" s="6" t="n">
        <v>8</v>
      </c>
      <c r="AB7" s="6" t="n">
        <v>2</v>
      </c>
      <c r="AC7" s="6"/>
      <c r="AD7" s="6" t="s">
        <v>514</v>
      </c>
      <c r="AE7" s="6" t="n">
        <v>120</v>
      </c>
      <c r="AF7" s="6"/>
      <c r="AG7" s="6" t="n">
        <v>1</v>
      </c>
      <c r="AH7" s="9" t="n">
        <v>0.600000023841858</v>
      </c>
      <c r="AI7" s="3" t="s">
        <v>538</v>
      </c>
      <c r="AJ7" s="6"/>
    </row>
    <row r="8" customFormat="false" ht="51" hidden="false" customHeight="true" outlineLevel="0" collapsed="false">
      <c r="A8" s="6" t="s">
        <v>56</v>
      </c>
      <c r="B8" s="6" t="s">
        <v>539</v>
      </c>
      <c r="C8" s="6" t="s">
        <v>540</v>
      </c>
      <c r="D8" s="3" t="s">
        <v>541</v>
      </c>
      <c r="E8" s="6" t="n">
        <v>2</v>
      </c>
      <c r="F8" s="6" t="n">
        <v>118</v>
      </c>
      <c r="G8" s="6" t="n">
        <v>0.9</v>
      </c>
      <c r="H8" s="6" t="n">
        <v>0.27</v>
      </c>
      <c r="I8" s="6"/>
      <c r="J8" s="6"/>
      <c r="K8" s="3" t="s">
        <v>542</v>
      </c>
      <c r="L8" s="6"/>
      <c r="M8" s="6" t="n">
        <v>18900</v>
      </c>
      <c r="N8" s="6" t="n">
        <v>7260</v>
      </c>
      <c r="O8" s="6" t="n">
        <v>53500</v>
      </c>
      <c r="P8" s="6" t="n">
        <v>8600</v>
      </c>
      <c r="Q8" s="6" t="n">
        <v>535</v>
      </c>
      <c r="R8" s="6"/>
      <c r="S8" s="6" t="n">
        <v>2.5</v>
      </c>
      <c r="T8" s="6" t="n">
        <v>3</v>
      </c>
      <c r="U8" s="6" t="s">
        <v>514</v>
      </c>
      <c r="V8" s="6"/>
      <c r="W8" s="6"/>
      <c r="X8" s="6" t="n">
        <v>30</v>
      </c>
      <c r="Y8" s="6" t="n">
        <v>120</v>
      </c>
      <c r="Z8" s="6" t="s">
        <v>543</v>
      </c>
      <c r="AA8" s="6" t="n">
        <v>7</v>
      </c>
      <c r="AB8" s="6"/>
      <c r="AC8" s="6"/>
      <c r="AD8" s="6" t="s">
        <v>507</v>
      </c>
      <c r="AE8" s="6" t="n">
        <v>144</v>
      </c>
      <c r="AF8" s="6"/>
      <c r="AG8" s="6" t="n">
        <v>1</v>
      </c>
      <c r="AH8" s="9" t="n">
        <v>3</v>
      </c>
      <c r="AI8" s="3" t="s">
        <v>544</v>
      </c>
      <c r="AJ8" s="6"/>
    </row>
    <row r="9" customFormat="false" ht="63.75" hidden="false" customHeight="true" outlineLevel="0" collapsed="false">
      <c r="A9" s="6" t="s">
        <v>56</v>
      </c>
      <c r="B9" s="6" t="s">
        <v>545</v>
      </c>
      <c r="C9" s="6" t="s">
        <v>546</v>
      </c>
      <c r="D9" s="6" t="s">
        <v>519</v>
      </c>
      <c r="E9" s="6" t="n">
        <v>3</v>
      </c>
      <c r="F9" s="6" t="n">
        <v>65</v>
      </c>
      <c r="G9" s="6" t="n">
        <v>0.46</v>
      </c>
      <c r="H9" s="6" t="n">
        <v>1</v>
      </c>
      <c r="I9" s="6"/>
      <c r="J9" s="6" t="n">
        <v>0.33</v>
      </c>
      <c r="K9" s="6" t="s">
        <v>547</v>
      </c>
      <c r="L9" s="6" t="n">
        <v>95</v>
      </c>
      <c r="M9" s="6"/>
      <c r="N9" s="6" t="n">
        <v>10700</v>
      </c>
      <c r="O9" s="6" t="n">
        <v>16000</v>
      </c>
      <c r="P9" s="6" t="n">
        <v>3200</v>
      </c>
      <c r="Q9" s="6" t="n">
        <v>1445</v>
      </c>
      <c r="R9" s="6" t="n">
        <v>260</v>
      </c>
      <c r="S9" s="6" t="n">
        <v>9</v>
      </c>
      <c r="T9" s="6" t="n">
        <v>9</v>
      </c>
      <c r="U9" s="6" t="s">
        <v>507</v>
      </c>
      <c r="V9" s="6" t="n">
        <v>100</v>
      </c>
      <c r="W9" s="6" t="n">
        <v>1200</v>
      </c>
      <c r="X9" s="6" t="n">
        <v>100</v>
      </c>
      <c r="Y9" s="6" t="n">
        <v>180</v>
      </c>
      <c r="Z9" s="6" t="s">
        <v>548</v>
      </c>
      <c r="AA9" s="6"/>
      <c r="AB9" s="6"/>
      <c r="AC9" s="6" t="n">
        <v>40000</v>
      </c>
      <c r="AD9" s="6" t="s">
        <v>514</v>
      </c>
      <c r="AE9" s="6" t="n">
        <v>64</v>
      </c>
      <c r="AF9" s="6"/>
      <c r="AG9" s="6" t="n">
        <v>1</v>
      </c>
      <c r="AH9" s="9" t="n">
        <v>0.0799999982118607</v>
      </c>
      <c r="AI9" s="3" t="s">
        <v>549</v>
      </c>
      <c r="AJ9" s="6"/>
    </row>
    <row r="10" customFormat="false" ht="51" hidden="false" customHeight="true" outlineLevel="0" collapsed="false">
      <c r="A10" s="6" t="s">
        <v>56</v>
      </c>
      <c r="B10" s="6" t="s">
        <v>550</v>
      </c>
      <c r="C10" s="6" t="s">
        <v>551</v>
      </c>
      <c r="D10" s="6" t="s">
        <v>519</v>
      </c>
      <c r="E10" s="6" t="n">
        <v>3</v>
      </c>
      <c r="F10" s="6" t="n">
        <v>90</v>
      </c>
      <c r="G10" s="6" t="n">
        <v>0.46</v>
      </c>
      <c r="H10" s="6" t="n">
        <v>1</v>
      </c>
      <c r="I10" s="6"/>
      <c r="J10" s="6" t="n">
        <v>0.33</v>
      </c>
      <c r="K10" s="6" t="s">
        <v>547</v>
      </c>
      <c r="L10" s="6" t="n">
        <v>100</v>
      </c>
      <c r="M10" s="6"/>
      <c r="N10" s="6" t="n">
        <v>10700</v>
      </c>
      <c r="O10" s="6" t="n">
        <v>16000</v>
      </c>
      <c r="P10" s="6" t="n">
        <v>2800</v>
      </c>
      <c r="Q10" s="6" t="n">
        <v>1495</v>
      </c>
      <c r="R10" s="6" t="n">
        <v>270</v>
      </c>
      <c r="S10" s="6" t="n">
        <v>9</v>
      </c>
      <c r="T10" s="6" t="n">
        <v>9</v>
      </c>
      <c r="U10" s="6" t="s">
        <v>514</v>
      </c>
      <c r="V10" s="6" t="n">
        <v>35</v>
      </c>
      <c r="W10" s="6" t="n">
        <v>100</v>
      </c>
      <c r="X10" s="6" t="n">
        <v>100</v>
      </c>
      <c r="Y10" s="6" t="n">
        <v>180</v>
      </c>
      <c r="Z10" s="6" t="s">
        <v>552</v>
      </c>
      <c r="AA10" s="6"/>
      <c r="AB10" s="6"/>
      <c r="AC10" s="6" t="n">
        <v>50000</v>
      </c>
      <c r="AD10" s="6" t="s">
        <v>514</v>
      </c>
      <c r="AE10" s="6" t="n">
        <v>72</v>
      </c>
      <c r="AF10" s="6"/>
      <c r="AG10" s="6" t="n">
        <v>1</v>
      </c>
      <c r="AH10" s="9" t="n">
        <v>0.00100000004749745</v>
      </c>
      <c r="AI10" s="3" t="s">
        <v>553</v>
      </c>
      <c r="AJ10" s="6"/>
    </row>
    <row r="11" customFormat="false" ht="63.75" hidden="false" customHeight="true" outlineLevel="0" collapsed="false">
      <c r="A11" s="6" t="s">
        <v>56</v>
      </c>
      <c r="B11" s="6" t="s">
        <v>554</v>
      </c>
      <c r="C11" s="6" t="s">
        <v>555</v>
      </c>
      <c r="D11" s="6" t="s">
        <v>519</v>
      </c>
      <c r="E11" s="6" t="n">
        <v>4</v>
      </c>
      <c r="F11" s="6" t="n">
        <v>145</v>
      </c>
      <c r="G11" s="6" t="n">
        <v>0.31</v>
      </c>
      <c r="H11" s="6" t="n">
        <v>0.36</v>
      </c>
      <c r="I11" s="6" t="n">
        <v>0.73</v>
      </c>
      <c r="J11" s="6" t="n">
        <v>1</v>
      </c>
      <c r="K11" s="6" t="s">
        <v>520</v>
      </c>
      <c r="L11" s="6" t="n">
        <v>130</v>
      </c>
      <c r="M11" s="6"/>
      <c r="N11" s="6" t="n">
        <v>19040</v>
      </c>
      <c r="O11" s="6" t="n">
        <v>26000</v>
      </c>
      <c r="P11" s="6" t="n">
        <v>5500</v>
      </c>
      <c r="Q11" s="6" t="n">
        <v>1030</v>
      </c>
      <c r="R11" s="6" t="n">
        <v>120</v>
      </c>
      <c r="S11" s="6" t="n">
        <v>6</v>
      </c>
      <c r="T11" s="6" t="n">
        <v>6</v>
      </c>
      <c r="U11" s="6" t="s">
        <v>514</v>
      </c>
      <c r="V11" s="6" t="n">
        <v>40</v>
      </c>
      <c r="W11" s="6" t="n">
        <v>150</v>
      </c>
      <c r="X11" s="6" t="n">
        <v>70</v>
      </c>
      <c r="Y11" s="6" t="n">
        <v>120</v>
      </c>
      <c r="Z11" s="6" t="s">
        <v>556</v>
      </c>
      <c r="AA11" s="6"/>
      <c r="AB11" s="6"/>
      <c r="AC11" s="6" t="n">
        <v>50000</v>
      </c>
      <c r="AD11" s="6" t="s">
        <v>514</v>
      </c>
      <c r="AE11" s="6" t="n">
        <v>86</v>
      </c>
      <c r="AF11" s="6"/>
      <c r="AG11" s="6" t="n">
        <v>1</v>
      </c>
      <c r="AH11" s="9" t="n">
        <v>0.00600000005215406</v>
      </c>
      <c r="AI11" s="3" t="s">
        <v>557</v>
      </c>
      <c r="AJ11" s="6"/>
    </row>
    <row r="12" customFormat="false" ht="76.5" hidden="false" customHeight="true" outlineLevel="0" collapsed="false">
      <c r="A12" s="6" t="s">
        <v>56</v>
      </c>
      <c r="B12" s="6" t="s">
        <v>558</v>
      </c>
      <c r="C12" s="6" t="s">
        <v>559</v>
      </c>
      <c r="D12" s="6" t="s">
        <v>519</v>
      </c>
      <c r="E12" s="6" t="n">
        <v>4</v>
      </c>
      <c r="F12" s="6" t="n">
        <v>126</v>
      </c>
      <c r="G12" s="6" t="n">
        <v>0.46</v>
      </c>
      <c r="H12" s="6" t="n">
        <v>1</v>
      </c>
      <c r="I12" s="6"/>
      <c r="J12" s="6" t="n">
        <v>0.33</v>
      </c>
      <c r="K12" s="6" t="s">
        <v>520</v>
      </c>
      <c r="L12" s="6" t="n">
        <v>200</v>
      </c>
      <c r="M12" s="6"/>
      <c r="N12" s="6" t="n">
        <v>10700</v>
      </c>
      <c r="O12" s="6" t="n">
        <v>30000</v>
      </c>
      <c r="P12" s="6" t="n">
        <v>8200</v>
      </c>
      <c r="Q12" s="6" t="n">
        <v>1500</v>
      </c>
      <c r="R12" s="6" t="n">
        <v>240</v>
      </c>
      <c r="S12" s="6" t="n">
        <v>9</v>
      </c>
      <c r="T12" s="6" t="n">
        <v>9</v>
      </c>
      <c r="U12" s="6" t="s">
        <v>507</v>
      </c>
      <c r="V12" s="6" t="n">
        <v>75</v>
      </c>
      <c r="W12" s="6" t="n">
        <v>1200</v>
      </c>
      <c r="X12" s="6" t="n">
        <v>75</v>
      </c>
      <c r="Y12" s="6" t="n">
        <v>180</v>
      </c>
      <c r="Z12" s="6" t="s">
        <v>560</v>
      </c>
      <c r="AA12" s="6"/>
      <c r="AB12" s="6"/>
      <c r="AC12" s="6" t="n">
        <v>50000</v>
      </c>
      <c r="AD12" s="6" t="s">
        <v>514</v>
      </c>
      <c r="AE12" s="6" t="n">
        <v>72</v>
      </c>
      <c r="AF12" s="6"/>
      <c r="AG12" s="6" t="n">
        <v>1</v>
      </c>
      <c r="AH12" s="9" t="n">
        <v>0.00150000001303852</v>
      </c>
      <c r="AI12" s="3" t="s">
        <v>561</v>
      </c>
      <c r="AJ12" s="6"/>
    </row>
    <row r="13" customFormat="false" ht="63.75" hidden="false" customHeight="true" outlineLevel="0" collapsed="false">
      <c r="A13" s="6" t="s">
        <v>56</v>
      </c>
      <c r="B13" s="6" t="s">
        <v>562</v>
      </c>
      <c r="C13" s="6" t="s">
        <v>563</v>
      </c>
      <c r="D13" s="6" t="s">
        <v>519</v>
      </c>
      <c r="E13" s="6" t="n">
        <v>5</v>
      </c>
      <c r="F13" s="6" t="n">
        <v>225</v>
      </c>
      <c r="G13" s="6" t="n">
        <v>1</v>
      </c>
      <c r="H13" s="6"/>
      <c r="I13" s="6"/>
      <c r="J13" s="6"/>
      <c r="K13" s="6" t="s">
        <v>564</v>
      </c>
      <c r="L13" s="6" t="n">
        <v>360</v>
      </c>
      <c r="M13" s="6"/>
      <c r="N13" s="6" t="n">
        <v>70070</v>
      </c>
      <c r="O13" s="6" t="n">
        <v>115000</v>
      </c>
      <c r="P13" s="6" t="n">
        <v>24997.9</v>
      </c>
      <c r="Q13" s="6" t="n">
        <v>1005</v>
      </c>
      <c r="R13" s="6" t="n">
        <v>240</v>
      </c>
      <c r="S13" s="6" t="n">
        <v>4</v>
      </c>
      <c r="T13" s="6" t="n">
        <v>5</v>
      </c>
      <c r="U13" s="6" t="s">
        <v>507</v>
      </c>
      <c r="V13" s="6" t="n">
        <v>80</v>
      </c>
      <c r="W13" s="6" t="n">
        <v>1200</v>
      </c>
      <c r="X13" s="6" t="n">
        <v>90</v>
      </c>
      <c r="Y13" s="6" t="n">
        <v>180</v>
      </c>
      <c r="Z13" s="6" t="s">
        <v>565</v>
      </c>
      <c r="AA13" s="6" t="n">
        <v>4</v>
      </c>
      <c r="AB13" s="6"/>
      <c r="AC13" s="6" t="n">
        <v>50000</v>
      </c>
      <c r="AD13" s="6" t="s">
        <v>514</v>
      </c>
      <c r="AE13" s="6" t="n">
        <v>86</v>
      </c>
      <c r="AF13" s="6"/>
      <c r="AG13" s="6" t="n">
        <v>1</v>
      </c>
      <c r="AH13" s="9" t="n">
        <v>0.00999999977648258</v>
      </c>
      <c r="AI13" s="3" t="s">
        <v>566</v>
      </c>
      <c r="AJ13" s="6"/>
    </row>
    <row r="14" customFormat="false" ht="25.5" hidden="false" customHeight="true" outlineLevel="0" collapsed="false">
      <c r="A14" s="6" t="s">
        <v>56</v>
      </c>
      <c r="B14" s="6" t="s">
        <v>567</v>
      </c>
      <c r="C14" s="6" t="s">
        <v>567</v>
      </c>
      <c r="D14" s="6" t="s">
        <v>568</v>
      </c>
      <c r="E14" s="6" t="n">
        <v>6</v>
      </c>
      <c r="F14" s="6" t="n">
        <v>1996</v>
      </c>
      <c r="G14" s="6" t="n">
        <v>0.46</v>
      </c>
      <c r="H14" s="6" t="n">
        <v>1</v>
      </c>
      <c r="I14" s="6" t="n">
        <v>0.1</v>
      </c>
      <c r="J14" s="6" t="n">
        <v>0.33</v>
      </c>
      <c r="K14" s="3" t="s">
        <v>569</v>
      </c>
      <c r="L14" s="6" t="n">
        <v>1000</v>
      </c>
      <c r="M14" s="6"/>
      <c r="N14" s="6" t="n">
        <v>79100</v>
      </c>
      <c r="O14" s="6" t="n">
        <v>90000</v>
      </c>
      <c r="P14" s="6" t="n">
        <v>1500</v>
      </c>
      <c r="Q14" s="6" t="n">
        <v>1445</v>
      </c>
      <c r="R14" s="6" t="n">
        <v>50</v>
      </c>
      <c r="S14" s="6" t="n">
        <v>9</v>
      </c>
      <c r="T14" s="6" t="n">
        <v>9</v>
      </c>
      <c r="U14" s="6" t="s">
        <v>507</v>
      </c>
      <c r="V14" s="6" t="n">
        <v>100</v>
      </c>
      <c r="W14" s="6" t="n">
        <v>1200</v>
      </c>
      <c r="X14" s="6" t="n">
        <v>100</v>
      </c>
      <c r="Y14" s="6" t="n">
        <v>180</v>
      </c>
      <c r="Z14" s="6" t="s">
        <v>570</v>
      </c>
      <c r="AA14" s="6"/>
      <c r="AB14" s="6"/>
      <c r="AC14" s="6"/>
      <c r="AD14" s="6" t="s">
        <v>514</v>
      </c>
      <c r="AE14" s="6"/>
      <c r="AF14" s="6"/>
      <c r="AG14" s="6" t="n">
        <v>1</v>
      </c>
      <c r="AH14" s="9" t="n">
        <v>0.0799999982118607</v>
      </c>
      <c r="AI14" s="6" t="s">
        <v>64</v>
      </c>
      <c r="AJ14" s="3" t="s">
        <v>571</v>
      </c>
    </row>
    <row r="15" customFormat="false" ht="76.5" hidden="false" customHeight="true" outlineLevel="0" collapsed="false">
      <c r="A15" s="6" t="s">
        <v>56</v>
      </c>
      <c r="B15" s="6" t="s">
        <v>572</v>
      </c>
      <c r="C15" s="6" t="s">
        <v>573</v>
      </c>
      <c r="D15" s="3" t="s">
        <v>574</v>
      </c>
      <c r="E15" s="6" t="n">
        <v>6</v>
      </c>
      <c r="F15" s="6" t="n">
        <v>390</v>
      </c>
      <c r="G15" s="6" t="n">
        <v>1</v>
      </c>
      <c r="H15" s="6" t="n">
        <v>0.7</v>
      </c>
      <c r="I15" s="6" t="n">
        <v>0.1</v>
      </c>
      <c r="J15" s="6" t="n">
        <v>0.2</v>
      </c>
      <c r="K15" s="6" t="s">
        <v>575</v>
      </c>
      <c r="L15" s="6" t="n">
        <v>180</v>
      </c>
      <c r="M15" s="6"/>
      <c r="N15" s="6" t="n">
        <v>34000</v>
      </c>
      <c r="O15" s="6" t="n">
        <v>62000</v>
      </c>
      <c r="P15" s="6" t="n">
        <v>18200</v>
      </c>
      <c r="Q15" s="6" t="n">
        <v>1725</v>
      </c>
      <c r="R15" s="6" t="n">
        <v>230</v>
      </c>
      <c r="S15" s="6" t="n">
        <v>8</v>
      </c>
      <c r="T15" s="6" t="n">
        <v>5</v>
      </c>
      <c r="U15" s="6" t="s">
        <v>507</v>
      </c>
      <c r="V15" s="6" t="n">
        <v>80</v>
      </c>
      <c r="W15" s="6" t="n">
        <v>1200</v>
      </c>
      <c r="X15" s="6" t="n">
        <v>90</v>
      </c>
      <c r="Y15" s="6" t="n">
        <v>180</v>
      </c>
      <c r="Z15" s="6" t="s">
        <v>576</v>
      </c>
      <c r="AA15" s="6" t="n">
        <v>5</v>
      </c>
      <c r="AB15" s="6"/>
      <c r="AC15" s="6" t="n">
        <v>50000</v>
      </c>
      <c r="AD15" s="6" t="s">
        <v>514</v>
      </c>
      <c r="AE15" s="6" t="n">
        <v>90</v>
      </c>
      <c r="AF15" s="6"/>
      <c r="AG15" s="6" t="n">
        <v>1</v>
      </c>
      <c r="AH15" s="9" t="n">
        <v>0.00249999994412065</v>
      </c>
      <c r="AI15" s="3" t="s">
        <v>577</v>
      </c>
      <c r="AJ15" s="6"/>
    </row>
    <row r="16" customFormat="false" ht="15" hidden="false" customHeight="true" outlineLevel="0" collapsed="false">
      <c r="A16" s="6" t="s">
        <v>356</v>
      </c>
      <c r="B16" s="6" t="s">
        <v>578</v>
      </c>
      <c r="C16" s="6" t="s">
        <v>578</v>
      </c>
      <c r="D16" s="6" t="s">
        <v>519</v>
      </c>
      <c r="E16" s="6" t="n">
        <v>0</v>
      </c>
      <c r="F16" s="6" t="n">
        <v>2.5</v>
      </c>
      <c r="G16" s="6" t="n">
        <v>0.35</v>
      </c>
      <c r="H16" s="6" t="n">
        <v>1</v>
      </c>
      <c r="I16" s="6"/>
      <c r="J16" s="6"/>
      <c r="K16" s="6" t="s">
        <v>547</v>
      </c>
      <c r="L16" s="6" t="n">
        <v>26.6</v>
      </c>
      <c r="M16" s="6"/>
      <c r="N16" s="6" t="n">
        <v>3600</v>
      </c>
      <c r="O16" s="6" t="n">
        <v>6106</v>
      </c>
      <c r="P16" s="6" t="n">
        <v>1100</v>
      </c>
      <c r="Q16" s="6" t="n">
        <v>1107</v>
      </c>
      <c r="R16" s="6" t="n">
        <v>210</v>
      </c>
      <c r="S16" s="6" t="n">
        <v>5</v>
      </c>
      <c r="T16" s="6" t="n">
        <v>7</v>
      </c>
      <c r="U16" s="6" t="s">
        <v>507</v>
      </c>
      <c r="V16" s="6" t="n">
        <v>80</v>
      </c>
      <c r="W16" s="6" t="n">
        <v>250</v>
      </c>
      <c r="X16" s="6" t="n">
        <v>90</v>
      </c>
      <c r="Y16" s="6" t="n">
        <v>200</v>
      </c>
      <c r="Z16" s="6" t="s">
        <v>579</v>
      </c>
      <c r="AA16" s="6" t="n">
        <v>4</v>
      </c>
      <c r="AB16" s="6"/>
      <c r="AC16" s="6"/>
      <c r="AD16" s="6" t="s">
        <v>507</v>
      </c>
      <c r="AE16" s="6" t="n">
        <v>24</v>
      </c>
      <c r="AF16" s="6"/>
      <c r="AG16" s="6" t="n">
        <v>1</v>
      </c>
      <c r="AH16" s="9" t="n">
        <v>5</v>
      </c>
      <c r="AI16" s="3" t="s">
        <v>580</v>
      </c>
      <c r="AJ16" s="6"/>
    </row>
    <row r="17" customFormat="false" ht="76.5" hidden="false" customHeight="true" outlineLevel="0" collapsed="false">
      <c r="A17" s="6" t="s">
        <v>371</v>
      </c>
      <c r="B17" s="6" t="s">
        <v>581</v>
      </c>
      <c r="C17" s="6" t="s">
        <v>582</v>
      </c>
      <c r="D17" s="3" t="s">
        <v>505</v>
      </c>
      <c r="E17" s="6" t="n">
        <v>0</v>
      </c>
      <c r="F17" s="6" t="n">
        <v>12</v>
      </c>
      <c r="G17" s="6" t="n">
        <v>0.75</v>
      </c>
      <c r="H17" s="6" t="n">
        <v>0.25</v>
      </c>
      <c r="I17" s="6"/>
      <c r="J17" s="6"/>
      <c r="K17" s="3" t="s">
        <v>583</v>
      </c>
      <c r="L17" s="6"/>
      <c r="M17" s="6" t="n">
        <v>1760</v>
      </c>
      <c r="N17" s="6"/>
      <c r="O17" s="6" t="n">
        <v>6000</v>
      </c>
      <c r="P17" s="6" t="n">
        <v>1050</v>
      </c>
      <c r="Q17" s="6" t="n">
        <v>562</v>
      </c>
      <c r="R17" s="6" t="n">
        <v>110</v>
      </c>
      <c r="S17" s="6" t="n">
        <v>6</v>
      </c>
      <c r="T17" s="6" t="n">
        <v>7</v>
      </c>
      <c r="U17" s="6" t="s">
        <v>507</v>
      </c>
      <c r="V17" s="6" t="n">
        <v>80</v>
      </c>
      <c r="W17" s="6" t="n">
        <v>300</v>
      </c>
      <c r="X17" s="6" t="n">
        <v>60</v>
      </c>
      <c r="Y17" s="6" t="n">
        <v>140</v>
      </c>
      <c r="Z17" s="6" t="s">
        <v>584</v>
      </c>
      <c r="AA17" s="6" t="n">
        <v>7</v>
      </c>
      <c r="AB17" s="6"/>
      <c r="AC17" s="6"/>
      <c r="AD17" s="6" t="s">
        <v>507</v>
      </c>
      <c r="AE17" s="6" t="n">
        <v>48</v>
      </c>
      <c r="AF17" s="6"/>
      <c r="AG17" s="6" t="n">
        <v>1</v>
      </c>
      <c r="AH17" s="9" t="n">
        <v>0.5</v>
      </c>
      <c r="AI17" s="3" t="s">
        <v>585</v>
      </c>
      <c r="AJ17" s="3" t="s">
        <v>586</v>
      </c>
    </row>
    <row r="18" customFormat="false" ht="89.25" hidden="false" customHeight="true" outlineLevel="0" collapsed="false">
      <c r="A18" s="6" t="s">
        <v>376</v>
      </c>
      <c r="B18" s="6" t="s">
        <v>587</v>
      </c>
      <c r="C18" s="6" t="s">
        <v>588</v>
      </c>
      <c r="D18" s="6" t="s">
        <v>512</v>
      </c>
      <c r="E18" s="6" t="n">
        <v>0</v>
      </c>
      <c r="F18" s="6" t="n">
        <v>16</v>
      </c>
      <c r="G18" s="6" t="n">
        <v>1</v>
      </c>
      <c r="H18" s="6" t="n">
        <v>0.3</v>
      </c>
      <c r="I18" s="6"/>
      <c r="J18" s="6" t="n">
        <v>0.05</v>
      </c>
      <c r="K18" s="6" t="s">
        <v>589</v>
      </c>
      <c r="L18" s="6"/>
      <c r="M18" s="6" t="n">
        <v>2900</v>
      </c>
      <c r="N18" s="6"/>
      <c r="O18" s="6" t="n">
        <v>8500</v>
      </c>
      <c r="P18" s="6" t="n">
        <v>1000</v>
      </c>
      <c r="Q18" s="6" t="n">
        <v>380</v>
      </c>
      <c r="R18" s="6"/>
      <c r="S18" s="6" t="n">
        <v>5</v>
      </c>
      <c r="T18" s="6" t="n">
        <v>3</v>
      </c>
      <c r="U18" s="6" t="s">
        <v>514</v>
      </c>
      <c r="V18" s="6"/>
      <c r="W18" s="6"/>
      <c r="X18" s="6" t="n">
        <v>30</v>
      </c>
      <c r="Y18" s="6" t="n">
        <v>120</v>
      </c>
      <c r="Z18" s="6" t="s">
        <v>590</v>
      </c>
      <c r="AA18" s="6" t="n">
        <v>7</v>
      </c>
      <c r="AB18" s="6"/>
      <c r="AC18" s="6"/>
      <c r="AD18" s="6" t="s">
        <v>507</v>
      </c>
      <c r="AE18" s="6" t="n">
        <v>72</v>
      </c>
      <c r="AF18" s="6"/>
      <c r="AG18" s="6"/>
      <c r="AH18" s="9" t="n">
        <v>0.0299999993294478</v>
      </c>
      <c r="AI18" s="3" t="s">
        <v>591</v>
      </c>
      <c r="AJ18" s="3" t="s">
        <v>586</v>
      </c>
    </row>
    <row r="19" customFormat="false" ht="51" hidden="false" customHeight="true" outlineLevel="0" collapsed="false">
      <c r="A19" s="6" t="s">
        <v>318</v>
      </c>
      <c r="B19" s="6" t="s">
        <v>592</v>
      </c>
      <c r="C19" s="6" t="s">
        <v>593</v>
      </c>
      <c r="D19" s="6" t="s">
        <v>519</v>
      </c>
      <c r="E19" s="6" t="n">
        <v>2</v>
      </c>
      <c r="F19" s="6" t="n">
        <v>35</v>
      </c>
      <c r="G19" s="6" t="n">
        <v>0.5</v>
      </c>
      <c r="H19" s="6" t="n">
        <v>0.75</v>
      </c>
      <c r="I19" s="6"/>
      <c r="J19" s="6"/>
      <c r="K19" s="6" t="s">
        <v>520</v>
      </c>
      <c r="L19" s="6" t="n">
        <v>70</v>
      </c>
      <c r="M19" s="6"/>
      <c r="N19" s="6" t="n">
        <v>6000</v>
      </c>
      <c r="O19" s="6" t="n">
        <v>10000</v>
      </c>
      <c r="P19" s="6" t="n">
        <v>1400</v>
      </c>
      <c r="Q19" s="6" t="n">
        <v>1910</v>
      </c>
      <c r="R19" s="6" t="n">
        <v>230</v>
      </c>
      <c r="S19" s="6" t="n">
        <v>9</v>
      </c>
      <c r="T19" s="6" t="n">
        <v>9</v>
      </c>
      <c r="U19" s="6" t="s">
        <v>507</v>
      </c>
      <c r="V19" s="6" t="n">
        <v>100</v>
      </c>
      <c r="W19" s="6" t="n">
        <v>500</v>
      </c>
      <c r="X19" s="6" t="n">
        <v>90</v>
      </c>
      <c r="Y19" s="6" t="n">
        <v>180</v>
      </c>
      <c r="Z19" s="6" t="s">
        <v>594</v>
      </c>
      <c r="AA19" s="6" t="n">
        <v>6</v>
      </c>
      <c r="AB19" s="6"/>
      <c r="AC19" s="6" t="n">
        <v>25000</v>
      </c>
      <c r="AD19" s="6" t="s">
        <v>514</v>
      </c>
      <c r="AE19" s="6" t="n">
        <v>50</v>
      </c>
      <c r="AF19" s="6"/>
      <c r="AG19" s="6"/>
      <c r="AH19" s="9" t="n">
        <v>0.100000001490116</v>
      </c>
      <c r="AI19" s="3" t="s">
        <v>595</v>
      </c>
      <c r="AJ19" s="6"/>
    </row>
    <row r="20" customFormat="false" ht="51" hidden="false" customHeight="true" outlineLevel="0" collapsed="false">
      <c r="A20" s="6" t="s">
        <v>316</v>
      </c>
      <c r="B20" s="6" t="s">
        <v>596</v>
      </c>
      <c r="C20" s="6" t="s">
        <v>597</v>
      </c>
      <c r="D20" s="6" t="s">
        <v>519</v>
      </c>
      <c r="E20" s="6" t="n">
        <v>3</v>
      </c>
      <c r="F20" s="6" t="n">
        <v>58</v>
      </c>
      <c r="G20" s="6" t="n">
        <v>1</v>
      </c>
      <c r="H20" s="6" t="n">
        <v>1</v>
      </c>
      <c r="I20" s="6"/>
      <c r="J20" s="6" t="n">
        <v>0.25</v>
      </c>
      <c r="K20" s="6" t="s">
        <v>547</v>
      </c>
      <c r="L20" s="6" t="n">
        <v>100</v>
      </c>
      <c r="M20" s="6"/>
      <c r="N20" s="6" t="n">
        <v>8500</v>
      </c>
      <c r="O20" s="6" t="n">
        <v>16240</v>
      </c>
      <c r="P20" s="6" t="n">
        <v>3320</v>
      </c>
      <c r="Q20" s="6" t="n">
        <v>2500</v>
      </c>
      <c r="R20" s="6" t="n">
        <v>245</v>
      </c>
      <c r="S20" s="6" t="n">
        <v>9</v>
      </c>
      <c r="T20" s="6" t="n">
        <v>9</v>
      </c>
      <c r="U20" s="6" t="s">
        <v>507</v>
      </c>
      <c r="V20" s="6" t="n">
        <v>85</v>
      </c>
      <c r="W20" s="6" t="n">
        <v>350</v>
      </c>
      <c r="X20" s="6" t="n">
        <v>100</v>
      </c>
      <c r="Y20" s="6" t="n">
        <v>170</v>
      </c>
      <c r="Z20" s="6" t="s">
        <v>598</v>
      </c>
      <c r="AA20" s="6" t="n">
        <v>7</v>
      </c>
      <c r="AB20" s="6"/>
      <c r="AC20" s="6" t="n">
        <v>32000</v>
      </c>
      <c r="AD20" s="6" t="s">
        <v>514</v>
      </c>
      <c r="AE20" s="6" t="n">
        <v>64</v>
      </c>
      <c r="AF20" s="6"/>
      <c r="AG20" s="6" t="n">
        <v>1</v>
      </c>
      <c r="AH20" s="9" t="n">
        <v>0.100000001490116</v>
      </c>
      <c r="AI20" s="3" t="s">
        <v>599</v>
      </c>
      <c r="AJ20" s="3" t="s">
        <v>600</v>
      </c>
    </row>
    <row r="21" customFormat="false" ht="89.25" hidden="false" customHeight="true" outlineLevel="0" collapsed="false">
      <c r="A21" s="6" t="s">
        <v>461</v>
      </c>
      <c r="B21" s="6" t="s">
        <v>461</v>
      </c>
      <c r="C21" s="6" t="s">
        <v>601</v>
      </c>
      <c r="D21" s="6" t="s">
        <v>519</v>
      </c>
      <c r="E21" s="6" t="n">
        <v>3</v>
      </c>
      <c r="F21" s="6" t="n">
        <v>62.5</v>
      </c>
      <c r="G21" s="6" t="n">
        <v>0.32</v>
      </c>
      <c r="H21" s="6" t="n">
        <v>1</v>
      </c>
      <c r="I21" s="6"/>
      <c r="J21" s="6" t="n">
        <v>0.25</v>
      </c>
      <c r="K21" s="6" t="s">
        <v>547</v>
      </c>
      <c r="L21" s="6" t="n">
        <v>105</v>
      </c>
      <c r="M21" s="6"/>
      <c r="N21" s="6" t="n">
        <v>8580</v>
      </c>
      <c r="O21" s="6" t="n">
        <v>16500</v>
      </c>
      <c r="P21" s="6" t="n">
        <v>3300</v>
      </c>
      <c r="Q21" s="6" t="n">
        <v>1650</v>
      </c>
      <c r="R21" s="6" t="n">
        <v>120</v>
      </c>
      <c r="S21" s="6" t="n">
        <v>9</v>
      </c>
      <c r="T21" s="6" t="n">
        <v>9</v>
      </c>
      <c r="U21" s="6" t="s">
        <v>507</v>
      </c>
      <c r="V21" s="6" t="n">
        <v>80</v>
      </c>
      <c r="W21" s="6" t="n">
        <v>600</v>
      </c>
      <c r="X21" s="6" t="n">
        <v>70</v>
      </c>
      <c r="Y21" s="6" t="n">
        <v>180</v>
      </c>
      <c r="Z21" s="6" t="s">
        <v>602</v>
      </c>
      <c r="AA21" s="6" t="n">
        <v>6</v>
      </c>
      <c r="AB21" s="6"/>
      <c r="AC21" s="6" t="n">
        <v>40000</v>
      </c>
      <c r="AD21" s="6" t="s">
        <v>514</v>
      </c>
      <c r="AE21" s="6" t="n">
        <v>64</v>
      </c>
      <c r="AF21" s="6"/>
      <c r="AG21" s="6" t="n">
        <v>1</v>
      </c>
      <c r="AH21" s="9" t="n">
        <v>0.25</v>
      </c>
      <c r="AI21" s="3" t="s">
        <v>603</v>
      </c>
      <c r="AJ21" s="3" t="s">
        <v>604</v>
      </c>
    </row>
    <row r="22" customFormat="false" ht="114.75" hidden="false" customHeight="true" outlineLevel="0" collapsed="false">
      <c r="A22" s="3" t="s">
        <v>605</v>
      </c>
      <c r="B22" s="6" t="s">
        <v>606</v>
      </c>
      <c r="C22" s="6" t="s">
        <v>607</v>
      </c>
      <c r="D22" s="6" t="s">
        <v>519</v>
      </c>
      <c r="E22" s="6" t="n">
        <v>4</v>
      </c>
      <c r="F22" s="6" t="n">
        <v>120</v>
      </c>
      <c r="G22" s="6" t="n">
        <v>1</v>
      </c>
      <c r="H22" s="6" t="n">
        <v>0.35</v>
      </c>
      <c r="I22" s="6"/>
      <c r="J22" s="6" t="n">
        <v>1</v>
      </c>
      <c r="K22" s="6" t="s">
        <v>520</v>
      </c>
      <c r="L22" s="6" t="n">
        <v>94.3</v>
      </c>
      <c r="M22" s="6"/>
      <c r="N22" s="6" t="n">
        <v>13380</v>
      </c>
      <c r="O22" s="6" t="n">
        <v>23814</v>
      </c>
      <c r="P22" s="6" t="n">
        <v>8250</v>
      </c>
      <c r="Q22" s="6" t="n">
        <v>1100</v>
      </c>
      <c r="R22" s="6" t="n">
        <v>285</v>
      </c>
      <c r="S22" s="6" t="n">
        <v>5</v>
      </c>
      <c r="T22" s="6" t="n">
        <v>6</v>
      </c>
      <c r="U22" s="6" t="s">
        <v>507</v>
      </c>
      <c r="V22" s="6" t="n">
        <v>78</v>
      </c>
      <c r="W22" s="6" t="n">
        <v>950</v>
      </c>
      <c r="X22" s="6" t="n">
        <v>72</v>
      </c>
      <c r="Y22" s="6" t="n">
        <v>150</v>
      </c>
      <c r="Z22" s="6" t="s">
        <v>608</v>
      </c>
      <c r="AA22" s="6" t="n">
        <v>3</v>
      </c>
      <c r="AB22" s="6"/>
      <c r="AC22" s="6"/>
      <c r="AD22" s="6" t="s">
        <v>507</v>
      </c>
      <c r="AE22" s="6" t="n">
        <v>32</v>
      </c>
      <c r="AF22" s="6" t="n">
        <v>64</v>
      </c>
      <c r="AG22" s="6"/>
      <c r="AH22" s="9" t="n">
        <v>4.99999998737621E-007</v>
      </c>
      <c r="AI22" s="3" t="s">
        <v>609</v>
      </c>
      <c r="AJ22" s="3" t="s">
        <v>610</v>
      </c>
    </row>
    <row r="23" customFormat="false" ht="63.75" hidden="false" customHeight="true" outlineLevel="0" collapsed="false">
      <c r="A23" s="6" t="s">
        <v>457</v>
      </c>
      <c r="B23" s="6" t="s">
        <v>457</v>
      </c>
      <c r="C23" s="6" t="s">
        <v>611</v>
      </c>
      <c r="D23" s="6" t="s">
        <v>519</v>
      </c>
      <c r="E23" s="6" t="n">
        <v>4</v>
      </c>
      <c r="F23" s="6" t="n">
        <v>136</v>
      </c>
      <c r="G23" s="6" t="n">
        <v>0.85</v>
      </c>
      <c r="H23" s="6" t="n">
        <v>0.92</v>
      </c>
      <c r="I23" s="6"/>
      <c r="J23" s="6" t="n">
        <v>0.29</v>
      </c>
      <c r="K23" s="6" t="s">
        <v>564</v>
      </c>
      <c r="L23" s="6" t="n">
        <v>230</v>
      </c>
      <c r="M23" s="6"/>
      <c r="N23" s="6" t="n">
        <v>19100</v>
      </c>
      <c r="O23" s="6" t="n">
        <v>39800</v>
      </c>
      <c r="P23" s="6" t="n">
        <v>12000</v>
      </c>
      <c r="Q23" s="6" t="n">
        <v>2100</v>
      </c>
      <c r="R23" s="6" t="n">
        <v>190</v>
      </c>
      <c r="S23" s="6" t="n">
        <v>9</v>
      </c>
      <c r="T23" s="6" t="n">
        <v>9</v>
      </c>
      <c r="U23" s="6" t="s">
        <v>507</v>
      </c>
      <c r="V23" s="6" t="n">
        <v>80</v>
      </c>
      <c r="W23" s="6" t="n">
        <v>1200</v>
      </c>
      <c r="X23" s="6" t="n">
        <v>75</v>
      </c>
      <c r="Y23" s="6" t="n">
        <v>190</v>
      </c>
      <c r="Z23" s="6" t="s">
        <v>612</v>
      </c>
      <c r="AA23" s="6"/>
      <c r="AB23" s="6"/>
      <c r="AC23" s="6" t="n">
        <v>50000</v>
      </c>
      <c r="AD23" s="6" t="s">
        <v>514</v>
      </c>
      <c r="AE23" s="6" t="n">
        <v>96</v>
      </c>
      <c r="AF23" s="6"/>
      <c r="AG23" s="6" t="n">
        <v>1</v>
      </c>
      <c r="AH23" s="9" t="n">
        <v>0.119999997317791</v>
      </c>
      <c r="AI23" s="3" t="s">
        <v>613</v>
      </c>
      <c r="AJ23" s="3" t="s">
        <v>600</v>
      </c>
    </row>
    <row r="24" customFormat="false" ht="76.5" hidden="false" customHeight="true" outlineLevel="0" collapsed="false">
      <c r="A24" s="6" t="s">
        <v>340</v>
      </c>
      <c r="B24" s="6" t="s">
        <v>614</v>
      </c>
      <c r="C24" s="6" t="s">
        <v>615</v>
      </c>
      <c r="D24" s="6" t="s">
        <v>519</v>
      </c>
      <c r="E24" s="6" t="n">
        <v>4</v>
      </c>
      <c r="F24" s="6" t="n">
        <v>160</v>
      </c>
      <c r="G24" s="6" t="n">
        <v>0.5</v>
      </c>
      <c r="H24" s="6"/>
      <c r="I24" s="6" t="n">
        <v>0.1</v>
      </c>
      <c r="J24" s="6" t="n">
        <v>0.25</v>
      </c>
      <c r="K24" s="6" t="s">
        <v>575</v>
      </c>
      <c r="L24" s="6" t="n">
        <v>608</v>
      </c>
      <c r="M24" s="6"/>
      <c r="N24" s="6" t="n">
        <v>45000</v>
      </c>
      <c r="O24" s="6" t="n">
        <v>130000</v>
      </c>
      <c r="P24" s="6" t="n">
        <v>26500</v>
      </c>
      <c r="Q24" s="6" t="n">
        <v>980</v>
      </c>
      <c r="R24" s="6" t="n">
        <v>25</v>
      </c>
      <c r="S24" s="6" t="n">
        <v>5</v>
      </c>
      <c r="T24" s="6" t="n">
        <v>5</v>
      </c>
      <c r="U24" s="6" t="s">
        <v>507</v>
      </c>
      <c r="V24" s="6" t="n">
        <v>90</v>
      </c>
      <c r="W24" s="6" t="n">
        <v>800</v>
      </c>
      <c r="X24" s="6" t="n">
        <v>120</v>
      </c>
      <c r="Y24" s="6" t="n">
        <v>180</v>
      </c>
      <c r="Z24" s="6" t="s">
        <v>616</v>
      </c>
      <c r="AA24" s="6" t="n">
        <v>9</v>
      </c>
      <c r="AB24" s="6"/>
      <c r="AC24" s="6" t="n">
        <v>50000</v>
      </c>
      <c r="AD24" s="6" t="s">
        <v>514</v>
      </c>
      <c r="AE24" s="6" t="n">
        <v>256</v>
      </c>
      <c r="AF24" s="6"/>
      <c r="AG24" s="6" t="n">
        <v>1</v>
      </c>
      <c r="AH24" s="9" t="n">
        <v>9</v>
      </c>
      <c r="AI24" s="3" t="s">
        <v>617</v>
      </c>
      <c r="AJ24" s="6"/>
    </row>
    <row r="25" customFormat="false" ht="102" hidden="false" customHeight="true" outlineLevel="0" collapsed="false">
      <c r="A25" s="6" t="s">
        <v>618</v>
      </c>
      <c r="B25" s="6" t="s">
        <v>619</v>
      </c>
      <c r="C25" s="6" t="s">
        <v>620</v>
      </c>
      <c r="D25" s="6" t="s">
        <v>519</v>
      </c>
      <c r="E25" s="6" t="n">
        <v>5</v>
      </c>
      <c r="F25" s="6" t="n">
        <v>200</v>
      </c>
      <c r="G25" s="6" t="n">
        <v>0.75</v>
      </c>
      <c r="H25" s="6" t="n">
        <v>1</v>
      </c>
      <c r="I25" s="6"/>
      <c r="J25" s="6"/>
      <c r="K25" s="6" t="s">
        <v>564</v>
      </c>
      <c r="L25" s="6" t="n">
        <v>240</v>
      </c>
      <c r="M25" s="6"/>
      <c r="N25" s="6"/>
      <c r="O25" s="6" t="n">
        <v>38000</v>
      </c>
      <c r="P25" s="6" t="n">
        <v>8200</v>
      </c>
      <c r="Q25" s="6" t="n">
        <v>2414</v>
      </c>
      <c r="R25" s="6" t="n">
        <v>220</v>
      </c>
      <c r="S25" s="6" t="n">
        <v>9</v>
      </c>
      <c r="T25" s="6" t="n">
        <v>9</v>
      </c>
      <c r="U25" s="6" t="s">
        <v>507</v>
      </c>
      <c r="V25" s="6" t="n">
        <v>85</v>
      </c>
      <c r="W25" s="6" t="n">
        <v>350</v>
      </c>
      <c r="X25" s="6" t="n">
        <v>100</v>
      </c>
      <c r="Y25" s="6" t="n">
        <v>170</v>
      </c>
      <c r="Z25" s="6" t="s">
        <v>621</v>
      </c>
      <c r="AA25" s="6" t="n">
        <v>4</v>
      </c>
      <c r="AB25" s="6"/>
      <c r="AC25" s="6" t="n">
        <v>60000</v>
      </c>
      <c r="AD25" s="6" t="s">
        <v>514</v>
      </c>
      <c r="AE25" s="6" t="n">
        <v>72</v>
      </c>
      <c r="AF25" s="6"/>
      <c r="AG25" s="6"/>
      <c r="AH25" s="9" t="n">
        <v>0.00120000005699694</v>
      </c>
      <c r="AI25" s="3" t="s">
        <v>622</v>
      </c>
      <c r="AJ25" s="3" t="s">
        <v>623</v>
      </c>
    </row>
    <row r="26" customFormat="false" ht="89.25" hidden="false" customHeight="true" outlineLevel="0" collapsed="false">
      <c r="A26" s="6" t="s">
        <v>321</v>
      </c>
      <c r="B26" s="6" t="s">
        <v>624</v>
      </c>
      <c r="C26" s="6" t="s">
        <v>625</v>
      </c>
      <c r="D26" s="3" t="s">
        <v>574</v>
      </c>
      <c r="E26" s="6" t="n">
        <v>5</v>
      </c>
      <c r="F26" s="6" t="n">
        <v>270</v>
      </c>
      <c r="G26" s="6" t="n">
        <v>0.4</v>
      </c>
      <c r="H26" s="6" t="n">
        <v>1</v>
      </c>
      <c r="I26" s="6"/>
      <c r="J26" s="6"/>
      <c r="K26" s="6" t="s">
        <v>564</v>
      </c>
      <c r="L26" s="6" t="n">
        <v>160</v>
      </c>
      <c r="M26" s="6"/>
      <c r="N26" s="6" t="n">
        <v>18500</v>
      </c>
      <c r="O26" s="6" t="n">
        <v>32500</v>
      </c>
      <c r="P26" s="6" t="n">
        <v>7950</v>
      </c>
      <c r="Q26" s="6" t="n">
        <v>2670</v>
      </c>
      <c r="R26" s="6" t="n">
        <v>190</v>
      </c>
      <c r="S26" s="6" t="n">
        <v>9</v>
      </c>
      <c r="T26" s="6" t="n">
        <v>9</v>
      </c>
      <c r="U26" s="6" t="s">
        <v>507</v>
      </c>
      <c r="V26" s="6" t="n">
        <v>100</v>
      </c>
      <c r="W26" s="6" t="n">
        <v>500</v>
      </c>
      <c r="X26" s="6" t="n">
        <v>90</v>
      </c>
      <c r="Y26" s="6" t="n">
        <v>180</v>
      </c>
      <c r="Z26" s="6" t="s">
        <v>626</v>
      </c>
      <c r="AA26" s="6" t="n">
        <v>8</v>
      </c>
      <c r="AB26" s="6"/>
      <c r="AC26" s="6" t="n">
        <v>75000</v>
      </c>
      <c r="AD26" s="6" t="s">
        <v>514</v>
      </c>
      <c r="AE26" s="6" t="n">
        <v>84</v>
      </c>
      <c r="AF26" s="6"/>
      <c r="AG26" s="6"/>
      <c r="AH26" s="9" t="n">
        <v>0.00175000005401671</v>
      </c>
      <c r="AI26" s="3" t="s">
        <v>627</v>
      </c>
      <c r="AJ26" s="3" t="s">
        <v>600</v>
      </c>
    </row>
  </sheetData>
  <autoFilter ref="A1:AJ2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9.1484375" defaultRowHeight="15" zeroHeight="false" outlineLevelRow="0" outlineLevelCol="0"/>
  <cols>
    <col collapsed="false" customWidth="true" hidden="false" outlineLevel="0" max="1" min="1" style="1" width="14"/>
    <col collapsed="false" customWidth="true" hidden="false" outlineLevel="0" max="2" min="2" style="1" width="26"/>
    <col collapsed="false" customWidth="true" hidden="false" outlineLevel="0" max="3" min="3" style="1" width="22"/>
    <col collapsed="false" customWidth="true" hidden="false" outlineLevel="0" max="4" min="4" style="1" width="12"/>
    <col collapsed="false" customWidth="true" hidden="false" outlineLevel="0" max="5" min="5" style="1" width="14"/>
    <col collapsed="false" customWidth="true" hidden="false" outlineLevel="0" max="6" min="6" style="1" width="20"/>
    <col collapsed="false" customWidth="true" hidden="false" outlineLevel="0" max="7" min="7" style="1" width="60"/>
  </cols>
  <sheetData>
    <row r="1" customFormat="false" ht="48" hidden="false" customHeight="true" outlineLevel="0" collapsed="false">
      <c r="A1" s="5" t="s">
        <v>20</v>
      </c>
      <c r="B1" s="5" t="s">
        <v>21</v>
      </c>
      <c r="C1" s="5" t="s">
        <v>22</v>
      </c>
      <c r="D1" s="5" t="s">
        <v>29</v>
      </c>
      <c r="E1" s="5" t="s">
        <v>628</v>
      </c>
      <c r="F1" s="5" t="s">
        <v>52</v>
      </c>
      <c r="G1" s="5" t="s">
        <v>54</v>
      </c>
    </row>
    <row r="2" customFormat="false" ht="38.25" hidden="false" customHeight="true" outlineLevel="0" collapsed="false">
      <c r="A2" s="6" t="s">
        <v>56</v>
      </c>
      <c r="B2" s="6" t="s">
        <v>629</v>
      </c>
      <c r="C2" s="6" t="s">
        <v>630</v>
      </c>
      <c r="D2" s="6" t="n">
        <v>20000</v>
      </c>
      <c r="E2" s="6" t="n">
        <v>4500</v>
      </c>
      <c r="F2" s="6" t="s">
        <v>631</v>
      </c>
      <c r="G2" s="3" t="s">
        <v>632</v>
      </c>
    </row>
    <row r="3" customFormat="false" ht="51" hidden="false" customHeight="true" outlineLevel="0" collapsed="false">
      <c r="A3" s="6" t="s">
        <v>56</v>
      </c>
      <c r="B3" s="6" t="s">
        <v>633</v>
      </c>
      <c r="C3" s="6" t="s">
        <v>630</v>
      </c>
      <c r="D3" s="6" t="n">
        <v>19500</v>
      </c>
      <c r="E3" s="6" t="n">
        <v>4500</v>
      </c>
      <c r="F3" s="6" t="s">
        <v>631</v>
      </c>
      <c r="G3" s="3" t="s">
        <v>634</v>
      </c>
    </row>
    <row r="4" customFormat="false" ht="51" hidden="false" customHeight="true" outlineLevel="0" collapsed="false">
      <c r="A4" s="6" t="s">
        <v>56</v>
      </c>
      <c r="B4" s="6" t="s">
        <v>635</v>
      </c>
      <c r="C4" s="6" t="s">
        <v>630</v>
      </c>
      <c r="D4" s="6" t="n">
        <v>20000</v>
      </c>
      <c r="E4" s="6" t="n">
        <v>4500</v>
      </c>
      <c r="F4" s="6" t="s">
        <v>631</v>
      </c>
      <c r="G4" s="3" t="s">
        <v>636</v>
      </c>
    </row>
    <row r="5" customFormat="false" ht="25.5" hidden="false" customHeight="true" outlineLevel="0" collapsed="false">
      <c r="A5" s="6" t="s">
        <v>56</v>
      </c>
      <c r="B5" s="6" t="s">
        <v>637</v>
      </c>
      <c r="C5" s="6" t="s">
        <v>630</v>
      </c>
      <c r="D5" s="6" t="n">
        <v>20000</v>
      </c>
      <c r="E5" s="6" t="n">
        <v>4500</v>
      </c>
      <c r="F5" s="6" t="s">
        <v>631</v>
      </c>
      <c r="G5" s="3" t="s">
        <v>638</v>
      </c>
    </row>
    <row r="6" customFormat="false" ht="25.5" hidden="false" customHeight="true" outlineLevel="0" collapsed="false">
      <c r="A6" s="6" t="s">
        <v>56</v>
      </c>
      <c r="B6" s="6" t="s">
        <v>639</v>
      </c>
      <c r="C6" s="6" t="s">
        <v>630</v>
      </c>
      <c r="D6" s="6" t="n">
        <v>0</v>
      </c>
      <c r="E6" s="6" t="n">
        <v>50</v>
      </c>
      <c r="F6" s="6" t="s">
        <v>640</v>
      </c>
      <c r="G6" s="3" t="s">
        <v>641</v>
      </c>
    </row>
    <row r="7" customFormat="false" ht="25.5" hidden="false" customHeight="true" outlineLevel="0" collapsed="false">
      <c r="A7" s="6" t="s">
        <v>56</v>
      </c>
      <c r="B7" s="6" t="s">
        <v>642</v>
      </c>
      <c r="C7" s="6" t="s">
        <v>630</v>
      </c>
      <c r="D7" s="6" t="n">
        <v>1500</v>
      </c>
      <c r="E7" s="6" t="n">
        <v>4500</v>
      </c>
      <c r="F7" s="6" t="s">
        <v>631</v>
      </c>
      <c r="G7" s="3" t="s">
        <v>643</v>
      </c>
    </row>
    <row r="8" customFormat="false" ht="25.5" hidden="false" customHeight="true" outlineLevel="0" collapsed="false">
      <c r="A8" s="6" t="s">
        <v>56</v>
      </c>
      <c r="B8" s="6" t="s">
        <v>644</v>
      </c>
      <c r="C8" s="6" t="s">
        <v>630</v>
      </c>
      <c r="D8" s="6" t="n">
        <v>6000</v>
      </c>
      <c r="E8" s="6" t="n">
        <v>4500</v>
      </c>
      <c r="F8" s="6" t="s">
        <v>631</v>
      </c>
      <c r="G8" s="3" t="s">
        <v>645</v>
      </c>
    </row>
    <row r="9" customFormat="false" ht="25.5" hidden="false" customHeight="true" outlineLevel="0" collapsed="false">
      <c r="A9" s="6" t="s">
        <v>56</v>
      </c>
      <c r="B9" s="6" t="s">
        <v>646</v>
      </c>
      <c r="C9" s="6" t="s">
        <v>630</v>
      </c>
      <c r="D9" s="6" t="n">
        <v>10000</v>
      </c>
      <c r="E9" s="6" t="n">
        <v>4500</v>
      </c>
      <c r="F9" s="6" t="s">
        <v>631</v>
      </c>
      <c r="G9" s="3" t="s">
        <v>647</v>
      </c>
    </row>
    <row r="10" customFormat="false" ht="15" hidden="false" customHeight="true" outlineLevel="0" collapsed="false">
      <c r="A10" s="6" t="s">
        <v>56</v>
      </c>
      <c r="B10" s="6" t="s">
        <v>648</v>
      </c>
      <c r="C10" s="6" t="s">
        <v>630</v>
      </c>
      <c r="D10" s="6" t="n">
        <v>20000</v>
      </c>
      <c r="E10" s="6" t="n">
        <v>4500</v>
      </c>
      <c r="F10" s="6" t="s">
        <v>631</v>
      </c>
      <c r="G10" s="3" t="s">
        <v>649</v>
      </c>
    </row>
    <row r="11" customFormat="false" ht="51" hidden="false" customHeight="true" outlineLevel="0" collapsed="false">
      <c r="A11" s="6" t="s">
        <v>56</v>
      </c>
      <c r="B11" s="6" t="s">
        <v>650</v>
      </c>
      <c r="C11" s="6" t="s">
        <v>630</v>
      </c>
      <c r="D11" s="6" t="n">
        <v>5100</v>
      </c>
      <c r="E11" s="6" t="n">
        <v>4500</v>
      </c>
      <c r="F11" s="6" t="s">
        <v>631</v>
      </c>
      <c r="G11" s="3" t="s">
        <v>651</v>
      </c>
    </row>
    <row r="12" customFormat="false" ht="51" hidden="false" customHeight="true" outlineLevel="0" collapsed="false">
      <c r="A12" s="6" t="s">
        <v>56</v>
      </c>
      <c r="B12" s="6" t="s">
        <v>652</v>
      </c>
      <c r="C12" s="6" t="s">
        <v>630</v>
      </c>
      <c r="D12" s="6" t="n">
        <v>5100</v>
      </c>
      <c r="E12" s="6" t="n">
        <v>4500</v>
      </c>
      <c r="F12" s="6" t="s">
        <v>631</v>
      </c>
      <c r="G12" s="3" t="s">
        <v>651</v>
      </c>
    </row>
    <row r="13" customFormat="false" ht="38.25" hidden="false" customHeight="true" outlineLevel="0" collapsed="false">
      <c r="A13" s="6" t="s">
        <v>56</v>
      </c>
      <c r="B13" s="6" t="s">
        <v>653</v>
      </c>
      <c r="C13" s="6" t="s">
        <v>630</v>
      </c>
      <c r="D13" s="6" t="n">
        <v>10000</v>
      </c>
      <c r="E13" s="6" t="n">
        <v>4500</v>
      </c>
      <c r="F13" s="6" t="s">
        <v>631</v>
      </c>
      <c r="G13" s="3" t="s">
        <v>654</v>
      </c>
    </row>
    <row r="14" customFormat="false" ht="51" hidden="false" customHeight="true" outlineLevel="0" collapsed="false">
      <c r="A14" s="6" t="s">
        <v>56</v>
      </c>
      <c r="B14" s="6" t="s">
        <v>655</v>
      </c>
      <c r="C14" s="6" t="s">
        <v>630</v>
      </c>
      <c r="D14" s="6" t="n">
        <v>6000</v>
      </c>
      <c r="E14" s="6" t="n">
        <v>4500</v>
      </c>
      <c r="F14" s="6" t="s">
        <v>631</v>
      </c>
      <c r="G14" s="3" t="s">
        <v>656</v>
      </c>
    </row>
    <row r="15" customFormat="false" ht="25.5" hidden="false" customHeight="true" outlineLevel="0" collapsed="false">
      <c r="A15" s="6" t="s">
        <v>56</v>
      </c>
      <c r="B15" s="6" t="s">
        <v>657</v>
      </c>
      <c r="C15" s="6" t="s">
        <v>630</v>
      </c>
      <c r="D15" s="6" t="n">
        <v>1500</v>
      </c>
      <c r="E15" s="6" t="n">
        <v>4500</v>
      </c>
      <c r="F15" s="6" t="s">
        <v>631</v>
      </c>
      <c r="G15" s="3" t="s">
        <v>658</v>
      </c>
    </row>
    <row r="16" customFormat="false" ht="51" hidden="false" customHeight="true" outlineLevel="0" collapsed="false">
      <c r="A16" s="6" t="s">
        <v>56</v>
      </c>
      <c r="B16" s="6" t="s">
        <v>659</v>
      </c>
      <c r="C16" s="6" t="s">
        <v>630</v>
      </c>
      <c r="D16" s="6" t="n">
        <v>6000</v>
      </c>
      <c r="E16" s="6" t="n">
        <v>4500</v>
      </c>
      <c r="F16" s="6" t="s">
        <v>631</v>
      </c>
      <c r="G16" s="3" t="s">
        <v>660</v>
      </c>
    </row>
    <row r="17" customFormat="false" ht="51" hidden="false" customHeight="true" outlineLevel="0" collapsed="false">
      <c r="A17" s="6" t="s">
        <v>56</v>
      </c>
      <c r="B17" s="6" t="s">
        <v>661</v>
      </c>
      <c r="C17" s="6" t="s">
        <v>630</v>
      </c>
      <c r="D17" s="6" t="n">
        <v>10000</v>
      </c>
      <c r="E17" s="6" t="n">
        <v>4500</v>
      </c>
      <c r="F17" s="6" t="s">
        <v>631</v>
      </c>
      <c r="G17" s="3" t="s">
        <v>662</v>
      </c>
    </row>
    <row r="18" customFormat="false" ht="25.5" hidden="false" customHeight="true" outlineLevel="0" collapsed="false">
      <c r="A18" s="6" t="s">
        <v>56</v>
      </c>
      <c r="B18" s="6" t="s">
        <v>663</v>
      </c>
      <c r="C18" s="6" t="s">
        <v>630</v>
      </c>
      <c r="D18" s="6" t="n">
        <v>6000</v>
      </c>
      <c r="E18" s="6" t="n">
        <v>4500</v>
      </c>
      <c r="F18" s="6" t="s">
        <v>631</v>
      </c>
      <c r="G18" s="3" t="s">
        <v>664</v>
      </c>
    </row>
    <row r="19" customFormat="false" ht="15" hidden="false" customHeight="true" outlineLevel="0" collapsed="false">
      <c r="A19" s="6" t="s">
        <v>56</v>
      </c>
      <c r="B19" s="6" t="s">
        <v>665</v>
      </c>
      <c r="C19" s="6" t="s">
        <v>630</v>
      </c>
      <c r="D19" s="6" t="n">
        <v>8500</v>
      </c>
      <c r="E19" s="6" t="n">
        <v>4500</v>
      </c>
      <c r="F19" s="6" t="s">
        <v>631</v>
      </c>
      <c r="G19" s="3" t="s">
        <v>666</v>
      </c>
    </row>
    <row r="20" customFormat="false" ht="25.5" hidden="false" customHeight="true" outlineLevel="0" collapsed="false">
      <c r="A20" s="6" t="s">
        <v>56</v>
      </c>
      <c r="B20" s="6" t="s">
        <v>667</v>
      </c>
      <c r="C20" s="6" t="s">
        <v>630</v>
      </c>
      <c r="D20" s="6" t="n">
        <v>90</v>
      </c>
      <c r="E20" s="6" t="n">
        <v>4500</v>
      </c>
      <c r="F20" s="6" t="s">
        <v>668</v>
      </c>
      <c r="G20" s="3" t="s">
        <v>669</v>
      </c>
    </row>
    <row r="21" customFormat="false" ht="38.25" hidden="false" customHeight="true" outlineLevel="0" collapsed="false">
      <c r="A21" s="6" t="s">
        <v>56</v>
      </c>
      <c r="B21" s="6" t="s">
        <v>670</v>
      </c>
      <c r="C21" s="6" t="s">
        <v>630</v>
      </c>
      <c r="D21" s="6" t="n">
        <v>3000</v>
      </c>
      <c r="E21" s="6" t="n">
        <v>4500</v>
      </c>
      <c r="F21" s="6" t="s">
        <v>631</v>
      </c>
      <c r="G21" s="3" t="s">
        <v>671</v>
      </c>
    </row>
    <row r="22" customFormat="false" ht="38.25" hidden="false" customHeight="true" outlineLevel="0" collapsed="false">
      <c r="A22" s="6" t="s">
        <v>56</v>
      </c>
      <c r="B22" s="6" t="s">
        <v>672</v>
      </c>
      <c r="C22" s="6" t="s">
        <v>630</v>
      </c>
      <c r="D22" s="6" t="n">
        <v>3500</v>
      </c>
      <c r="E22" s="6" t="n">
        <v>4500</v>
      </c>
      <c r="F22" s="6" t="s">
        <v>631</v>
      </c>
      <c r="G22" s="3" t="s">
        <v>673</v>
      </c>
    </row>
    <row r="23" customFormat="false" ht="51" hidden="false" customHeight="true" outlineLevel="0" collapsed="false">
      <c r="A23" s="6" t="s">
        <v>56</v>
      </c>
      <c r="B23" s="6" t="s">
        <v>674</v>
      </c>
      <c r="C23" s="6" t="s">
        <v>630</v>
      </c>
      <c r="D23" s="6" t="n">
        <v>6000</v>
      </c>
      <c r="E23" s="6" t="n">
        <v>4500</v>
      </c>
      <c r="F23" s="6" t="s">
        <v>631</v>
      </c>
      <c r="G23" s="3" t="s">
        <v>675</v>
      </c>
    </row>
    <row r="24" customFormat="false" ht="38.25" hidden="false" customHeight="true" outlineLevel="0" collapsed="false">
      <c r="A24" s="6" t="s">
        <v>340</v>
      </c>
      <c r="B24" s="6" t="s">
        <v>676</v>
      </c>
      <c r="C24" s="6" t="s">
        <v>630</v>
      </c>
      <c r="D24" s="6" t="n">
        <v>0</v>
      </c>
      <c r="E24" s="6" t="n">
        <v>0</v>
      </c>
      <c r="F24" s="6" t="s">
        <v>631</v>
      </c>
      <c r="G24" s="3" t="s">
        <v>677</v>
      </c>
    </row>
    <row r="25" customFormat="false" ht="38.25" hidden="false" customHeight="true" outlineLevel="0" collapsed="false">
      <c r="A25" s="6" t="s">
        <v>340</v>
      </c>
      <c r="B25" s="6" t="s">
        <v>678</v>
      </c>
      <c r="C25" s="6" t="s">
        <v>630</v>
      </c>
      <c r="D25" s="6" t="n">
        <v>12500</v>
      </c>
      <c r="E25" s="6" t="n">
        <v>4500</v>
      </c>
      <c r="F25" s="6" t="s">
        <v>631</v>
      </c>
      <c r="G25" s="3" t="s">
        <v>679</v>
      </c>
    </row>
    <row r="26" customFormat="false" ht="25.5" hidden="false" customHeight="true" outlineLevel="0" collapsed="false">
      <c r="A26" s="6" t="s">
        <v>340</v>
      </c>
      <c r="B26" s="6" t="s">
        <v>663</v>
      </c>
      <c r="C26" s="6" t="s">
        <v>630</v>
      </c>
      <c r="D26" s="6" t="n">
        <v>6000</v>
      </c>
      <c r="E26" s="6" t="n">
        <v>4500</v>
      </c>
      <c r="F26" s="6" t="s">
        <v>631</v>
      </c>
      <c r="G26" s="3" t="s">
        <v>664</v>
      </c>
    </row>
    <row r="27" customFormat="false" ht="51" hidden="false" customHeight="true" outlineLevel="0" collapsed="false">
      <c r="A27" s="6" t="s">
        <v>340</v>
      </c>
      <c r="B27" s="6" t="s">
        <v>680</v>
      </c>
      <c r="C27" s="6" t="s">
        <v>630</v>
      </c>
      <c r="D27" s="6" t="n">
        <v>55000</v>
      </c>
      <c r="E27" s="6" t="n">
        <v>4500</v>
      </c>
      <c r="F27" s="6" t="s">
        <v>631</v>
      </c>
      <c r="G27" s="3" t="s">
        <v>681</v>
      </c>
    </row>
    <row r="28" customFormat="false" ht="76.5" hidden="false" customHeight="true" outlineLevel="0" collapsed="false">
      <c r="A28" s="6" t="s">
        <v>340</v>
      </c>
      <c r="B28" s="6" t="s">
        <v>682</v>
      </c>
      <c r="C28" s="6" t="s">
        <v>630</v>
      </c>
      <c r="D28" s="6" t="n">
        <v>8000</v>
      </c>
      <c r="E28" s="6" t="n">
        <v>4500</v>
      </c>
      <c r="F28" s="6" t="s">
        <v>631</v>
      </c>
      <c r="G28" s="3" t="s">
        <v>683</v>
      </c>
    </row>
    <row r="29" customFormat="false" ht="25.5" hidden="false" customHeight="true" outlineLevel="0" collapsed="false">
      <c r="A29" s="6" t="s">
        <v>340</v>
      </c>
      <c r="B29" s="6" t="s">
        <v>684</v>
      </c>
      <c r="C29" s="6" t="s">
        <v>630</v>
      </c>
      <c r="D29" s="6" t="n">
        <v>20000</v>
      </c>
      <c r="E29" s="6" t="n">
        <v>4500</v>
      </c>
      <c r="F29" s="6" t="s">
        <v>631</v>
      </c>
      <c r="G29" s="3" t="s">
        <v>685</v>
      </c>
    </row>
    <row r="30" customFormat="false" ht="38.25" hidden="false" customHeight="true" outlineLevel="0" collapsed="false">
      <c r="A30" s="6" t="s">
        <v>340</v>
      </c>
      <c r="B30" s="6" t="s">
        <v>686</v>
      </c>
      <c r="C30" s="6" t="s">
        <v>630</v>
      </c>
      <c r="D30" s="6" t="n">
        <v>12500</v>
      </c>
      <c r="E30" s="6" t="n">
        <v>4500</v>
      </c>
      <c r="F30" s="6" t="s">
        <v>631</v>
      </c>
      <c r="G30" s="3" t="s">
        <v>687</v>
      </c>
    </row>
    <row r="31" customFormat="false" ht="89.25" hidden="false" customHeight="true" outlineLevel="0" collapsed="false">
      <c r="A31" s="6" t="s">
        <v>340</v>
      </c>
      <c r="B31" s="6" t="s">
        <v>688</v>
      </c>
      <c r="C31" s="6" t="s">
        <v>630</v>
      </c>
      <c r="D31" s="6" t="n">
        <v>28000</v>
      </c>
      <c r="E31" s="6" t="n">
        <v>4500</v>
      </c>
      <c r="F31" s="6" t="s">
        <v>631</v>
      </c>
      <c r="G31" s="3" t="s">
        <v>689</v>
      </c>
    </row>
    <row r="32" customFormat="false" ht="51" hidden="false" customHeight="true" outlineLevel="0" collapsed="false">
      <c r="A32" s="6" t="s">
        <v>340</v>
      </c>
      <c r="B32" s="6" t="s">
        <v>690</v>
      </c>
      <c r="C32" s="6" t="s">
        <v>630</v>
      </c>
      <c r="D32" s="6" t="n">
        <v>8000</v>
      </c>
      <c r="E32" s="6" t="n">
        <v>4500</v>
      </c>
      <c r="F32" s="6" t="s">
        <v>631</v>
      </c>
      <c r="G32" s="3" t="s">
        <v>691</v>
      </c>
    </row>
    <row r="33" customFormat="false" ht="63.75" hidden="false" customHeight="true" outlineLevel="0" collapsed="false">
      <c r="A33" s="6" t="s">
        <v>340</v>
      </c>
      <c r="B33" s="6" t="s">
        <v>692</v>
      </c>
      <c r="C33" s="6" t="s">
        <v>630</v>
      </c>
      <c r="D33" s="6" t="n">
        <v>27000</v>
      </c>
      <c r="E33" s="6" t="n">
        <v>4500</v>
      </c>
      <c r="F33" s="6" t="s">
        <v>631</v>
      </c>
      <c r="G33" s="3" t="s">
        <v>693</v>
      </c>
    </row>
    <row r="34" customFormat="false" ht="76.5" hidden="false" customHeight="true" outlineLevel="0" collapsed="false">
      <c r="A34" s="6" t="s">
        <v>340</v>
      </c>
      <c r="B34" s="6" t="s">
        <v>694</v>
      </c>
      <c r="C34" s="6" t="s">
        <v>630</v>
      </c>
      <c r="D34" s="6" t="n">
        <v>8000</v>
      </c>
      <c r="E34" s="6" t="n">
        <v>4500</v>
      </c>
      <c r="F34" s="6" t="s">
        <v>631</v>
      </c>
      <c r="G34" s="3" t="s">
        <v>695</v>
      </c>
    </row>
    <row r="35" customFormat="false" ht="38.25" hidden="false" customHeight="true" outlineLevel="0" collapsed="false">
      <c r="A35" s="6" t="s">
        <v>340</v>
      </c>
      <c r="B35" s="6" t="s">
        <v>696</v>
      </c>
      <c r="C35" s="6" t="s">
        <v>630</v>
      </c>
      <c r="D35" s="6" t="n">
        <v>51000</v>
      </c>
      <c r="E35" s="6" t="n">
        <v>4500</v>
      </c>
      <c r="F35" s="6" t="s">
        <v>631</v>
      </c>
      <c r="G35" s="3" t="s">
        <v>697</v>
      </c>
    </row>
    <row r="36" customFormat="false" ht="51" hidden="false" customHeight="true" outlineLevel="0" collapsed="false">
      <c r="A36" s="6" t="s">
        <v>340</v>
      </c>
      <c r="B36" s="6" t="s">
        <v>698</v>
      </c>
      <c r="C36" s="6" t="s">
        <v>630</v>
      </c>
      <c r="D36" s="6" t="n">
        <v>50000</v>
      </c>
      <c r="E36" s="6" t="n">
        <v>4500</v>
      </c>
      <c r="F36" s="6" t="s">
        <v>631</v>
      </c>
      <c r="G36" s="3" t="s">
        <v>699</v>
      </c>
    </row>
    <row r="37" customFormat="false" ht="38.25" hidden="false" customHeight="true" outlineLevel="0" collapsed="false">
      <c r="A37" s="6" t="s">
        <v>340</v>
      </c>
      <c r="B37" s="6" t="s">
        <v>700</v>
      </c>
      <c r="C37" s="6" t="s">
        <v>630</v>
      </c>
      <c r="D37" s="6" t="n">
        <v>15000</v>
      </c>
      <c r="E37" s="6" t="n">
        <v>4500</v>
      </c>
      <c r="F37" s="6" t="s">
        <v>631</v>
      </c>
      <c r="G37" s="3" t="s">
        <v>701</v>
      </c>
    </row>
    <row r="38" customFormat="false" ht="25.5" hidden="false" customHeight="true" outlineLevel="0" collapsed="false">
      <c r="A38" s="6" t="s">
        <v>340</v>
      </c>
      <c r="B38" s="6" t="s">
        <v>702</v>
      </c>
      <c r="C38" s="6" t="s">
        <v>630</v>
      </c>
      <c r="D38" s="6" t="n">
        <v>5000</v>
      </c>
      <c r="E38" s="6" t="n">
        <v>0</v>
      </c>
      <c r="F38" s="6" t="s">
        <v>631</v>
      </c>
      <c r="G38" s="3" t="s">
        <v>703</v>
      </c>
    </row>
    <row r="39" customFormat="false" ht="51" hidden="false" customHeight="true" outlineLevel="0" collapsed="false">
      <c r="A39" s="6" t="s">
        <v>340</v>
      </c>
      <c r="B39" s="6" t="s">
        <v>674</v>
      </c>
      <c r="C39" s="6" t="s">
        <v>630</v>
      </c>
      <c r="D39" s="6" t="n">
        <v>6000</v>
      </c>
      <c r="E39" s="6" t="n">
        <v>4500</v>
      </c>
      <c r="F39" s="6" t="s">
        <v>631</v>
      </c>
      <c r="G39" s="3" t="s">
        <v>675</v>
      </c>
    </row>
  </sheetData>
  <autoFilter ref="A1:G3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2026-10-03T16:13:15Z</dcterms:created>
  <dc:creator>openpyxl</dc:creator>
  <dc:description/>
  <dc:language>en-US</dc:language>
  <cp:lastModifiedBy>florian delrieu</cp:lastModifiedBy>
  <dcterms:modified xsi:type="dcterms:W3CDTF">2026-10-11T21:38:02Z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